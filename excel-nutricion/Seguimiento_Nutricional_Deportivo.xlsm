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nicio" sheetId="1" state="visible" r:id="rId1"/>
    <sheet name="Deportistas" sheetId="2" state="visible" r:id="rId2"/>
    <sheet name="Config_ISAK" sheetId="3" state="visible" r:id="rId3"/>
    <sheet name="Captura_ISAK" sheetId="4" state="visible" r:id="rId4"/>
    <sheet name="Seguimiento" sheetId="5" state="visible" r:id="rId5"/>
    <sheet name="Informe" sheetId="6" state="visible" r:id="rId6"/>
    <sheet name="Auditoria" sheetId="7" state="visible" r:id="rId7"/>
    <sheet name="Listas" sheetId="8" state="hidden" r:id="rId8"/>
  </sheets>
  <definedNames>
    <definedName name="Captura_Deportista">Captura_ISAK!$B$3</definedName>
    <definedName name="Captura_Fecha">Captura_ISAK!$E$3</definedName>
    <definedName name="Captura_Hora">Captura_ISAK!$E$4</definedName>
    <definedName name="Captura_Antropometrista">Captura_ISAK!$E$5</definedName>
    <definedName name="Captura_Anotador">Captura_ISAK!$E$6</definedName>
    <definedName name="Captura_Lado">Captura_ISAK!$E$7</definedName>
    <definedName name="Captura_Notas">Captura_ISAK!$D$8</definedName>
    <definedName name="Captura_Metodo">Captura_ISAK!$B$8</definedName>
    <definedName name="Captura_Mediciones">Captura_ISAK!$D$12:$G$28</definedName>
    <definedName name="Informe_Deportista">Informe!$B$3</definedName>
    <definedName name="Informe_FechaCorte">Informe!$E$3</definedName>
    <definedName name="_xlnm.Print_Area" localSheetId="5">'Informe'!$A$6:$H$67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DD/MM/YYYY"/>
    <numFmt numFmtId="165" formatCode="HH:MM"/>
    <numFmt numFmtId="166" formatCode="0.0"/>
  </numFmts>
  <fonts count="10">
    <font>
      <name val="Calibri"/>
      <family val="2"/>
      <color theme="1"/>
      <sz val="11"/>
      <scheme val="minor"/>
    </font>
    <font>
      <b val="1"/>
      <color rgb="00FFFFFF"/>
      <sz val="11"/>
    </font>
    <font>
      <b val="1"/>
      <color rgb="001F4E79"/>
      <sz val="16"/>
    </font>
    <font>
      <b val="1"/>
    </font>
    <font>
      <b val="1"/>
      <sz val="12"/>
    </font>
    <font>
      <b val="1"/>
      <color rgb="00FFFFFF"/>
    </font>
    <font>
      <b val="1"/>
      <color rgb="001F4E79"/>
      <sz val="18"/>
    </font>
    <font>
      <b val="1"/>
      <sz val="14"/>
    </font>
    <font>
      <i val="1"/>
      <sz val="9"/>
    </font>
    <font>
      <b val="1"/>
      <color rgb="001F4E79"/>
      <sz val="20"/>
    </font>
  </fonts>
  <fills count="8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F2F2F2"/>
      </patternFill>
    </fill>
    <fill>
      <patternFill patternType="solid">
        <fgColor rgb="00E2EFDA"/>
      </patternFill>
    </fill>
    <fill>
      <patternFill patternType="solid">
        <fgColor rgb="00548235"/>
      </patternFill>
    </fill>
    <fill>
      <patternFill patternType="solid">
        <fgColor rgb="00C55A11"/>
      </patternFill>
    </fill>
    <fill>
      <patternFill patternType="solid">
        <fgColor rgb="00D9E2F3"/>
      </patternFill>
    </fill>
  </fills>
  <borders count="2">
    <border>
      <left/>
      <right/>
      <top/>
      <bottom/>
      <diagonal/>
    </border>
    <border>
      <left style="thin">
        <color rgb="00B4B4B4"/>
      </left>
      <right style="thin">
        <color rgb="00B4B4B4"/>
      </right>
      <top style="thin">
        <color rgb="00B4B4B4"/>
      </top>
      <bottom style="thin">
        <color rgb="00B4B4B4"/>
      </bottom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9" fillId="0" borderId="0" pivotButton="0" quotePrefix="0" xfId="0"/>
    <xf numFmtId="0" fontId="1" fillId="2" borderId="1" pivotButton="0" quotePrefix="0" xfId="0"/>
    <xf numFmtId="0" fontId="2" fillId="0" borderId="0" pivotButton="0" quotePrefix="0" xfId="0"/>
    <xf numFmtId="0" fontId="3" fillId="0" borderId="1" pivotButton="0" quotePrefix="0" xfId="0"/>
    <xf numFmtId="0" fontId="0" fillId="0" borderId="1" pivotButton="0" quotePrefix="0" xfId="0"/>
    <xf numFmtId="164" fontId="0" fillId="3" borderId="1" pivotButton="0" quotePrefix="0" xfId="0"/>
    <xf numFmtId="0" fontId="0" fillId="3" borderId="1" pivotButton="0" quotePrefix="0" xfId="0"/>
    <xf numFmtId="165" fontId="0" fillId="0" borderId="1" pivotButton="0" quotePrefix="0" xfId="0"/>
    <xf numFmtId="166" fontId="0" fillId="0" borderId="1" pivotButton="0" quotePrefix="0" xfId="0"/>
    <xf numFmtId="166" fontId="0" fillId="4" borderId="1" pivotButton="0" quotePrefix="0" xfId="0"/>
    <xf numFmtId="0" fontId="4" fillId="0" borderId="0" pivotButton="0" quotePrefix="0" xfId="0"/>
    <xf numFmtId="0" fontId="5" fillId="5" borderId="0" pivotButton="0" quotePrefix="0" xfId="0"/>
    <xf numFmtId="0" fontId="5" fillId="6" borderId="0" pivotButton="0" quotePrefix="0" xfId="0"/>
    <xf numFmtId="0" fontId="6" fillId="0" borderId="0" pivotButton="0" quotePrefix="0" xfId="0"/>
    <xf numFmtId="0" fontId="3" fillId="0" borderId="0" pivotButton="0" quotePrefix="0" xfId="0"/>
    <xf numFmtId="164" fontId="0" fillId="0" borderId="0" pivotButton="0" quotePrefix="0" xfId="0"/>
    <xf numFmtId="0" fontId="5" fillId="2" borderId="0" pivotButton="0" quotePrefix="0" xfId="0"/>
    <xf numFmtId="0" fontId="7" fillId="0" borderId="0" pivotButton="0" quotePrefix="0" xfId="0"/>
    <xf numFmtId="0" fontId="8" fillId="0" borderId="0" pivotButton="0" quotePrefix="0" xfId="0"/>
    <xf numFmtId="0" fontId="3" fillId="7" borderId="1" pivotButton="0" quotePrefix="0" xfId="0"/>
  </cellXfs>
  <cellStyles count="1">
    <cellStyle name="Normal" xfId="0" builtinId="0" hidden="0"/>
  </cellStyles>
  <dxfs count="1">
    <dxf>
      <fill>
        <patternFill patternType="solid">
          <fgColor rgb="00FFF2C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Evolución masa corporal (kg)</a:t>
            </a:r>
          </a:p>
        </rich>
      </tx>
    </title>
    <plotArea>
      <lineChart>
        <grouping val="standard"/>
        <ser>
          <idx val="0"/>
          <order val="0"/>
          <tx>
            <strRef>
              <f>'Informe'!B33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'Informe'!$A$34:$A$45</f>
            </numRef>
          </cat>
          <val>
            <numRef>
              <f>'Informe'!$B$34:$B$45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Evaluación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kg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Evolución suma 6 pliegues (mm)</a:t>
            </a:r>
          </a:p>
        </rich>
      </tx>
    </title>
    <plotArea>
      <lineChart>
        <grouping val="standard"/>
        <ser>
          <idx val="0"/>
          <order val="0"/>
          <tx>
            <strRef>
              <f>'Informe'!E33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'Informe'!$A$34:$A$45</f>
            </numRef>
          </cat>
          <val>
            <numRef>
              <f>'Informe'!$E$34:$E$45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mm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47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4</col>
      <colOff>0</colOff>
      <row>47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ablaDeportistas" displayName="TablaDeportistas" ref="A1:X201" headerRowCount="1">
  <autoFilter ref="A1:X201"/>
  <tableColumns count="24">
    <tableColumn id="1" name="ID_Deportista"/>
    <tableColumn id="2" name="tipoDocumentoIdentificacion"/>
    <tableColumn id="3" name="numDocumentoIdentificacion"/>
    <tableColumn id="4" name="primerApellido"/>
    <tableColumn id="5" name="segundoApellido"/>
    <tableColumn id="6" name="nombres"/>
    <tableColumn id="7" name="tipoUsuario"/>
    <tableColumn id="8" name="fechaNacimiento"/>
    <tableColumn id="9" name="codSexo"/>
    <tableColumn id="10" name="codPaisResidencia"/>
    <tableColumn id="11" name="codMunicipioResidencia"/>
    <tableColumn id="12" name="codZonaTerritorialResidencia"/>
    <tableColumn id="13" name="incapacidad"/>
    <tableColumn id="14" name="codPaisOrigen"/>
    <tableColumn id="15" name="consecutivo"/>
    <tableColumn id="16" name="telefono"/>
    <tableColumn id="17" name="email"/>
    <tableColumn id="18" name="eps"/>
    <tableColumn id="19" name="direccion"/>
    <tableColumn id="20" name="deporte"/>
    <tableColumn id="21" name="equipo"/>
    <tableColumn id="22" name="categoria"/>
    <tableColumn id="23" name="fechaIngreso"/>
    <tableColumn id="24" name="activ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ConfigISAK" displayName="TablaConfigISAK" ref="A1:G18" headerRowCount="1">
  <autoFilter ref="A1:G18"/>
  <tableColumns count="7">
    <tableColumn id="1" name="Codigo"/>
    <tableColumn id="2" name="Nombre"/>
    <tableColumn id="3" name="Unidad"/>
    <tableColumn id="4" name="Categoria"/>
    <tableColumn id="5" name="Tolerancia_Pct"/>
    <tableColumn id="6" name="Incluir_Grafica"/>
    <tableColumn id="7" name="Orde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Seguimiento" displayName="TablaSeguimiento" ref="A1:AD500" headerRowCount="1">
  <autoFilter ref="A1:AD500"/>
  <tableColumns count="30">
    <tableColumn id="1" name="ID_Deportista"/>
    <tableColumn id="2" name="Nombre_Completo"/>
    <tableColumn id="3" name="Fecha_Evaluacion"/>
    <tableColumn id="4" name="Hora_Evaluacion"/>
    <tableColumn id="5" name="Antropometrista"/>
    <tableColumn id="6" name="Anotador"/>
    <tableColumn id="7" name="Lado_Medido"/>
    <tableColumn id="8" name="Notas"/>
    <tableColumn id="9" name="MASA"/>
    <tableColumn id="10" name="TALLA"/>
    <tableColumn id="11" name="PL_TRICEPS"/>
    <tableColumn id="12" name="PL_SUBESCAPULAR"/>
    <tableColumn id="13" name="PL_BICEPS"/>
    <tableColumn id="14" name="PL_CRESTA_ILIACA"/>
    <tableColumn id="15" name="PL_SUPRAESPINAL"/>
    <tableColumn id="16" name="PL_ABDOMINAL"/>
    <tableColumn id="17" name="PL_MUSLO_ANT"/>
    <tableColumn id="18" name="PL_PIERNA_MED"/>
    <tableColumn id="19" name="PR_BRAZO_REL"/>
    <tableColumn id="20" name="PR_BRAZO_FLEX"/>
    <tableColumn id="21" name="PR_CINTURA"/>
    <tableColumn id="22" name="PR_CADERA"/>
    <tableColumn id="23" name="PR_PANTORRILLA"/>
    <tableColumn id="24" name="D_HUMERO"/>
    <tableColumn id="25" name="D_FEMUR"/>
    <tableColumn id="26" name="IMC"/>
    <tableColumn id="27" name="Suma_6_Pliegues"/>
    <tableColumn id="28" name="Suma_8_Pliegues"/>
    <tableColumn id="29" name="Bloqueado"/>
    <tableColumn id="30" name="ID_Evaluacion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4" name="TablaAuditoria" displayName="TablaAuditoria" ref="A1:E200" headerRowCount="1">
  <autoFilter ref="A1:E200"/>
  <tableColumns count="5">
    <tableColumn id="1" name="Fecha_Hora"/>
    <tableColumn id="2" name="Usuario"/>
    <tableColumn id="3" name="Accion"/>
    <tableColumn id="4" name="ID_Evaluacion"/>
    <tableColumn id="5" name="Detal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20"/>
  <sheetViews>
    <sheetView workbookViewId="0">
      <selection activeCell="A1" sqref="A1"/>
    </sheetView>
  </sheetViews>
  <sheetFormatPr baseColWidth="8" defaultRowHeight="15"/>
  <cols>
    <col width="80" customWidth="1" min="1" max="1"/>
  </cols>
  <sheetData>
    <row r="1">
      <c r="A1" s="1" t="inlineStr">
        <is>
          <t>Seguimiento Nutricional y Antropométrico Deportivo</t>
        </is>
      </c>
    </row>
    <row r="2">
      <c r="A2" t="inlineStr"/>
    </row>
    <row r="3">
      <c r="A3" t="inlineStr">
        <is>
          <t>Hojas del libro:</t>
        </is>
      </c>
    </row>
    <row r="4">
      <c r="A4" t="inlineStr">
        <is>
          <t>• Deportistas — Registro maestro (~200) con datos RIPS/UCAD</t>
        </is>
      </c>
    </row>
    <row r="5">
      <c r="A5" t="inlineStr">
        <is>
          <t>• Config_ISAK — Variables antropométricas ISAK Nivel 1</t>
        </is>
      </c>
    </row>
    <row r="6">
      <c r="A6" t="inlineStr">
        <is>
          <t>• Captura_ISAK — Formulario diario con 3 repeticiones por medida</t>
        </is>
      </c>
    </row>
    <row r="7">
      <c r="A7" t="inlineStr">
        <is>
          <t>• Seguimiento — Historial longitudinal (fecha bloqueada con VBA)</t>
        </is>
      </c>
    </row>
    <row r="8">
      <c r="A8" t="inlineStr">
        <is>
          <t>• Informe — Vista para imprimir / Guardar como PDF</t>
        </is>
      </c>
    </row>
    <row r="9">
      <c r="A9" t="inlineStr">
        <is>
          <t>• Auditoria — Registro de desbloqueos administrativos</t>
        </is>
      </c>
    </row>
    <row r="10">
      <c r="A10" t="inlineStr"/>
    </row>
    <row r="11">
      <c r="A11" t="inlineStr">
        <is>
          <t>Pasos iniciales:</t>
        </is>
      </c>
    </row>
    <row r="12">
      <c r="A12" t="inlineStr">
        <is>
          <t>1. Importar macros VBA desde excel-nutricion/vba/ModuloSeguimiento.bas</t>
        </is>
      </c>
    </row>
    <row r="13">
      <c r="A13" t="inlineStr">
        <is>
          <t>2. Guardar como .xlsm y habilitar macros</t>
        </is>
      </c>
    </row>
    <row r="14">
      <c r="A14" t="inlineStr">
        <is>
          <t>3. Asignar botones en Captura_ISAK e Informe a las macros indicadas</t>
        </is>
      </c>
    </row>
    <row r="15">
      <c r="A15" t="inlineStr"/>
    </row>
    <row r="16">
      <c r="A16" t="inlineStr">
        <is>
          <t>Flujo diario:</t>
        </is>
      </c>
    </row>
    <row r="17">
      <c r="A17" t="inlineStr">
        <is>
          <t>Captura_ISAK → Registrar evaluación → Seguimiento</t>
        </is>
      </c>
    </row>
    <row r="18">
      <c r="A18" t="inlineStr">
        <is>
          <t>Informe → elegir deportista y fecha → Guardar como PDF</t>
        </is>
      </c>
    </row>
    <row r="19">
      <c r="A19" t="inlineStr"/>
    </row>
    <row r="20">
      <c r="A20" t="inlineStr">
        <is>
          <t>Contraseña administrador por defecto: UCAD2026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X2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16" customWidth="1" min="4" max="4"/>
    <col width="16" customWidth="1" min="5" max="5"/>
    <col width="20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  <col width="16" customWidth="1" min="22" max="22"/>
    <col width="16" customWidth="1" min="23" max="23"/>
    <col width="16" customWidth="1" min="24" max="24"/>
  </cols>
  <sheetData>
    <row r="1">
      <c r="A1" s="2" t="inlineStr">
        <is>
          <t>ID_Deportista</t>
        </is>
      </c>
      <c r="B1" s="2" t="inlineStr">
        <is>
          <t>tipoDocumentoIdentificacion</t>
        </is>
      </c>
      <c r="C1" s="2" t="inlineStr">
        <is>
          <t>numDocumentoIdentificacion</t>
        </is>
      </c>
      <c r="D1" s="2" t="inlineStr">
        <is>
          <t>primerApellido</t>
        </is>
      </c>
      <c r="E1" s="2" t="inlineStr">
        <is>
          <t>segundoApellido</t>
        </is>
      </c>
      <c r="F1" s="2" t="inlineStr">
        <is>
          <t>nombres</t>
        </is>
      </c>
      <c r="G1" s="2" t="inlineStr">
        <is>
          <t>tipoUsuario</t>
        </is>
      </c>
      <c r="H1" s="2" t="inlineStr">
        <is>
          <t>fechaNacimiento</t>
        </is>
      </c>
      <c r="I1" s="2" t="inlineStr">
        <is>
          <t>codSexo</t>
        </is>
      </c>
      <c r="J1" s="2" t="inlineStr">
        <is>
          <t>codPaisResidencia</t>
        </is>
      </c>
      <c r="K1" s="2" t="inlineStr">
        <is>
          <t>codMunicipioResidencia</t>
        </is>
      </c>
      <c r="L1" s="2" t="inlineStr">
        <is>
          <t>codZonaTerritorialResidencia</t>
        </is>
      </c>
      <c r="M1" s="2" t="inlineStr">
        <is>
          <t>incapacidad</t>
        </is>
      </c>
      <c r="N1" s="2" t="inlineStr">
        <is>
          <t>codPaisOrigen</t>
        </is>
      </c>
      <c r="O1" s="2" t="inlineStr">
        <is>
          <t>consecutivo</t>
        </is>
      </c>
      <c r="P1" s="2" t="inlineStr">
        <is>
          <t>telefono</t>
        </is>
      </c>
      <c r="Q1" s="2" t="inlineStr">
        <is>
          <t>email</t>
        </is>
      </c>
      <c r="R1" s="2" t="inlineStr">
        <is>
          <t>eps</t>
        </is>
      </c>
      <c r="S1" s="2" t="inlineStr">
        <is>
          <t>direccion</t>
        </is>
      </c>
      <c r="T1" s="2" t="inlineStr">
        <is>
          <t>deporte</t>
        </is>
      </c>
      <c r="U1" s="2" t="inlineStr">
        <is>
          <t>equipo</t>
        </is>
      </c>
      <c r="V1" s="2" t="inlineStr">
        <is>
          <t>categoria</t>
        </is>
      </c>
      <c r="W1" s="2" t="inlineStr">
        <is>
          <t>fechaIngreso</t>
        </is>
      </c>
      <c r="X1" s="2" t="inlineStr">
        <is>
          <t>activo</t>
        </is>
      </c>
    </row>
    <row r="2">
      <c r="A2" t="inlineStr">
        <is>
          <t>DEP-001</t>
        </is>
      </c>
      <c r="B2" t="inlineStr">
        <is>
          <t>CC</t>
        </is>
      </c>
      <c r="C2" t="inlineStr">
        <is>
          <t>1020304050</t>
        </is>
      </c>
      <c r="D2" t="inlineStr">
        <is>
          <t>García</t>
        </is>
      </c>
      <c r="E2" t="inlineStr">
        <is>
          <t>López</t>
        </is>
      </c>
      <c r="F2" t="inlineStr">
        <is>
          <t>Andrés</t>
        </is>
      </c>
      <c r="G2" t="inlineStr">
        <is>
          <t>04</t>
        </is>
      </c>
      <c r="H2" t="inlineStr">
        <is>
          <t>2001-03-15</t>
        </is>
      </c>
      <c r="I2" t="inlineStr">
        <is>
          <t>M</t>
        </is>
      </c>
      <c r="J2" t="inlineStr">
        <is>
          <t>170</t>
        </is>
      </c>
      <c r="K2" t="inlineStr">
        <is>
          <t>11001</t>
        </is>
      </c>
      <c r="L2" t="inlineStr">
        <is>
          <t>01</t>
        </is>
      </c>
      <c r="M2" t="inlineStr">
        <is>
          <t>NO</t>
        </is>
      </c>
      <c r="N2" t="inlineStr">
        <is>
          <t>170</t>
        </is>
      </c>
      <c r="O2" t="n">
        <v>1</v>
      </c>
      <c r="P2" t="inlineStr">
        <is>
          <t>3001234567</t>
        </is>
      </c>
      <c r="Q2" t="inlineStr">
        <is>
          <t>andres@email.com</t>
        </is>
      </c>
      <c r="R2" t="inlineStr">
        <is>
          <t>Sura</t>
        </is>
      </c>
      <c r="S2" t="inlineStr">
        <is>
          <t>Bogotá</t>
        </is>
      </c>
      <c r="T2" t="inlineStr">
        <is>
          <t>Fútbol</t>
        </is>
      </c>
      <c r="U2" t="inlineStr">
        <is>
          <t>UCAD A</t>
        </is>
      </c>
      <c r="V2" t="inlineStr">
        <is>
          <t>Sub-20</t>
        </is>
      </c>
      <c r="W2" t="inlineStr">
        <is>
          <t>2024-01-10</t>
        </is>
      </c>
      <c r="X2" t="inlineStr">
        <is>
          <t>Sí</t>
        </is>
      </c>
    </row>
    <row r="3">
      <c r="A3" t="inlineStr">
        <is>
          <t>DEP-002</t>
        </is>
      </c>
      <c r="B3" t="inlineStr">
        <is>
          <t>CC</t>
        </is>
      </c>
      <c r="C3" t="inlineStr">
        <is>
          <t>1030456789</t>
        </is>
      </c>
      <c r="D3" t="inlineStr">
        <is>
          <t>Martínez</t>
        </is>
      </c>
      <c r="E3" t="inlineStr">
        <is>
          <t>Ruiz</t>
        </is>
      </c>
      <c r="F3" t="inlineStr">
        <is>
          <t>María</t>
        </is>
      </c>
      <c r="G3" t="inlineStr">
        <is>
          <t>04</t>
        </is>
      </c>
      <c r="H3" t="inlineStr">
        <is>
          <t>2002-07-22</t>
        </is>
      </c>
      <c r="I3" t="inlineStr">
        <is>
          <t>F</t>
        </is>
      </c>
      <c r="J3" t="inlineStr">
        <is>
          <t>170</t>
        </is>
      </c>
      <c r="K3" t="inlineStr">
        <is>
          <t>11001</t>
        </is>
      </c>
      <c r="L3" t="inlineStr">
        <is>
          <t>01</t>
        </is>
      </c>
      <c r="M3" t="inlineStr">
        <is>
          <t>NO</t>
        </is>
      </c>
      <c r="N3" t="inlineStr">
        <is>
          <t>170</t>
        </is>
      </c>
      <c r="O3" t="n">
        <v>2</v>
      </c>
      <c r="P3" t="inlineStr">
        <is>
          <t>3019876543</t>
        </is>
      </c>
      <c r="Q3" t="inlineStr">
        <is>
          <t>maria@email.com</t>
        </is>
      </c>
      <c r="R3" t="inlineStr">
        <is>
          <t>Sanitas</t>
        </is>
      </c>
      <c r="S3" t="inlineStr">
        <is>
          <t>Bogotá</t>
        </is>
      </c>
      <c r="T3" t="inlineStr">
        <is>
          <t>Atletismo</t>
        </is>
      </c>
      <c r="U3" t="inlineStr">
        <is>
          <t>UCAD B</t>
        </is>
      </c>
      <c r="V3" t="inlineStr">
        <is>
          <t>Senior</t>
        </is>
      </c>
      <c r="W3" t="inlineStr">
        <is>
          <t>2024-02-01</t>
        </is>
      </c>
      <c r="X3" t="inlineStr">
        <is>
          <t>Sí</t>
        </is>
      </c>
    </row>
    <row r="4">
      <c r="A4" t="inlineStr">
        <is>
          <t>DEP-003</t>
        </is>
      </c>
      <c r="B4" t="inlineStr">
        <is>
          <t>TI</t>
        </is>
      </c>
      <c r="C4" t="inlineStr">
        <is>
          <t>1040567890</t>
        </is>
      </c>
      <c r="D4" t="inlineStr">
        <is>
          <t>Rodríguez</t>
        </is>
      </c>
      <c r="E4" t="inlineStr"/>
      <c r="F4" t="inlineStr">
        <is>
          <t>Carlos</t>
        </is>
      </c>
      <c r="G4" t="inlineStr">
        <is>
          <t>04</t>
        </is>
      </c>
      <c r="H4" t="inlineStr">
        <is>
          <t>2008-11-05</t>
        </is>
      </c>
      <c r="I4" t="inlineStr">
        <is>
          <t>M</t>
        </is>
      </c>
      <c r="J4" t="inlineStr">
        <is>
          <t>170</t>
        </is>
      </c>
      <c r="K4" t="inlineStr">
        <is>
          <t>08001</t>
        </is>
      </c>
      <c r="L4" t="inlineStr">
        <is>
          <t>02</t>
        </is>
      </c>
      <c r="M4" t="inlineStr">
        <is>
          <t>NO</t>
        </is>
      </c>
      <c r="N4" t="inlineStr">
        <is>
          <t>170</t>
        </is>
      </c>
      <c r="O4" t="n">
        <v>3</v>
      </c>
      <c r="P4" t="inlineStr">
        <is>
          <t>3021112233</t>
        </is>
      </c>
      <c r="Q4" t="inlineStr"/>
      <c r="R4" t="inlineStr">
        <is>
          <t>Nueva EPS</t>
        </is>
      </c>
      <c r="S4" t="inlineStr">
        <is>
          <t>Barranquilla</t>
        </is>
      </c>
      <c r="T4" t="inlineStr">
        <is>
          <t>Natación</t>
        </is>
      </c>
      <c r="U4" t="inlineStr">
        <is>
          <t>UCAD A</t>
        </is>
      </c>
      <c r="V4" t="inlineStr">
        <is>
          <t>Juvenil</t>
        </is>
      </c>
      <c r="W4" t="inlineStr">
        <is>
          <t>2024-03-15</t>
        </is>
      </c>
      <c r="X4" t="inlineStr">
        <is>
          <t>Sí</t>
        </is>
      </c>
    </row>
    <row r="5">
      <c r="A5" t="inlineStr">
        <is>
          <t>DEP-004</t>
        </is>
      </c>
      <c r="B5" t="inlineStr">
        <is>
          <t>CC</t>
        </is>
      </c>
      <c r="C5" t="inlineStr">
        <is>
          <t>1050678901</t>
        </is>
      </c>
      <c r="D5" t="inlineStr">
        <is>
          <t>Hernández</t>
        </is>
      </c>
      <c r="E5" t="inlineStr">
        <is>
          <t>Vega</t>
        </is>
      </c>
      <c r="F5" t="inlineStr">
        <is>
          <t>Laura</t>
        </is>
      </c>
      <c r="G5" t="inlineStr">
        <is>
          <t>04</t>
        </is>
      </c>
      <c r="H5" t="inlineStr">
        <is>
          <t>2000-01-30</t>
        </is>
      </c>
      <c r="I5" t="inlineStr">
        <is>
          <t>F</t>
        </is>
      </c>
      <c r="J5" t="inlineStr">
        <is>
          <t>170</t>
        </is>
      </c>
      <c r="K5" t="inlineStr">
        <is>
          <t>11001</t>
        </is>
      </c>
      <c r="L5" t="inlineStr">
        <is>
          <t>01</t>
        </is>
      </c>
      <c r="M5" t="inlineStr">
        <is>
          <t>NO</t>
        </is>
      </c>
      <c r="N5" t="inlineStr">
        <is>
          <t>170</t>
        </is>
      </c>
      <c r="O5" t="n">
        <v>4</v>
      </c>
      <c r="P5" t="inlineStr">
        <is>
          <t>3104445566</t>
        </is>
      </c>
      <c r="Q5" t="inlineStr">
        <is>
          <t>laura@email.com</t>
        </is>
      </c>
      <c r="R5" t="inlineStr">
        <is>
          <t>Compensar</t>
        </is>
      </c>
      <c r="S5" t="inlineStr">
        <is>
          <t>Bogotá</t>
        </is>
      </c>
      <c r="T5" t="inlineStr">
        <is>
          <t>Baloncesto</t>
        </is>
      </c>
      <c r="U5" t="inlineStr">
        <is>
          <t>UCAD C</t>
        </is>
      </c>
      <c r="V5" t="inlineStr">
        <is>
          <t>Senior</t>
        </is>
      </c>
      <c r="W5" t="inlineStr">
        <is>
          <t>2023-11-20</t>
        </is>
      </c>
      <c r="X5" t="inlineStr">
        <is>
          <t>Sí</t>
        </is>
      </c>
    </row>
    <row r="6">
      <c r="A6" t="inlineStr">
        <is>
          <t>DEP-005</t>
        </is>
      </c>
      <c r="B6" t="inlineStr">
        <is>
          <t>CC</t>
        </is>
      </c>
      <c r="C6" t="inlineStr">
        <is>
          <t>1060789012</t>
        </is>
      </c>
      <c r="D6" t="inlineStr">
        <is>
          <t>Acosta</t>
        </is>
      </c>
      <c r="E6" t="inlineStr">
        <is>
          <t>Pérez</t>
        </is>
      </c>
      <c r="F6" t="inlineStr">
        <is>
          <t>Diego</t>
        </is>
      </c>
      <c r="G6" t="inlineStr">
        <is>
          <t>04</t>
        </is>
      </c>
      <c r="H6" t="inlineStr">
        <is>
          <t>1999-09-12</t>
        </is>
      </c>
      <c r="I6" t="inlineStr">
        <is>
          <t>M</t>
        </is>
      </c>
      <c r="J6" t="inlineStr">
        <is>
          <t>170</t>
        </is>
      </c>
      <c r="K6" t="inlineStr">
        <is>
          <t>05001</t>
        </is>
      </c>
      <c r="L6" t="inlineStr">
        <is>
          <t>01</t>
        </is>
      </c>
      <c r="M6" t="inlineStr">
        <is>
          <t>NO</t>
        </is>
      </c>
      <c r="N6" t="inlineStr">
        <is>
          <t>170</t>
        </is>
      </c>
      <c r="O6" t="n">
        <v>5</v>
      </c>
      <c r="P6" t="inlineStr">
        <is>
          <t>3207778899</t>
        </is>
      </c>
      <c r="Q6" t="inlineStr">
        <is>
          <t>diego@email.com</t>
        </is>
      </c>
      <c r="R6" t="inlineStr">
        <is>
          <t>Sura</t>
        </is>
      </c>
      <c r="S6" t="inlineStr">
        <is>
          <t>Medellín</t>
        </is>
      </c>
      <c r="T6" t="inlineStr">
        <is>
          <t>Ciclismo</t>
        </is>
      </c>
      <c r="U6" t="inlineStr">
        <is>
          <t>UCAD B</t>
        </is>
      </c>
      <c r="V6" t="inlineStr">
        <is>
          <t>Elite</t>
        </is>
      </c>
      <c r="W6" t="inlineStr">
        <is>
          <t>2023-08-05</t>
        </is>
      </c>
      <c r="X6" t="inlineStr">
        <is>
          <t>Sí</t>
        </is>
      </c>
    </row>
    <row r="7">
      <c r="A7" t="inlineStr">
        <is>
          <t>DEP-006</t>
        </is>
      </c>
      <c r="B7" t="inlineStr"/>
      <c r="C7" t="inlineStr"/>
      <c r="D7" t="inlineStr"/>
      <c r="E7" t="inlineStr"/>
      <c r="F7" t="inlineStr"/>
      <c r="G7" t="inlineStr"/>
      <c r="H7" t="inlineStr"/>
      <c r="I7" t="inlineStr"/>
      <c r="J7" t="inlineStr"/>
      <c r="K7" t="inlineStr"/>
      <c r="L7" t="inlineStr"/>
      <c r="M7" t="inlineStr"/>
      <c r="N7" t="inlineStr"/>
      <c r="O7" t="inlineStr"/>
      <c r="P7" t="inlineStr"/>
      <c r="Q7" t="inlineStr"/>
      <c r="R7" t="inlineStr"/>
      <c r="S7" t="inlineStr"/>
      <c r="T7" t="inlineStr"/>
      <c r="U7" t="inlineStr"/>
      <c r="V7" t="inlineStr"/>
      <c r="W7" t="inlineStr"/>
      <c r="X7" t="inlineStr"/>
    </row>
    <row r="8">
      <c r="A8" t="inlineStr">
        <is>
          <t>DEP-007</t>
        </is>
      </c>
      <c r="B8" t="inlineStr"/>
      <c r="C8" t="inlineStr"/>
      <c r="D8" t="inlineStr"/>
      <c r="E8" t="inlineStr"/>
      <c r="F8" t="inlineStr"/>
      <c r="G8" t="inlineStr"/>
      <c r="H8" t="inlineStr"/>
      <c r="I8" t="inlineStr"/>
      <c r="J8" t="inlineStr"/>
      <c r="K8" t="inlineStr"/>
      <c r="L8" t="inlineStr"/>
      <c r="M8" t="inlineStr"/>
      <c r="N8" t="inlineStr"/>
      <c r="O8" t="inlineStr"/>
      <c r="P8" t="inlineStr"/>
      <c r="Q8" t="inlineStr"/>
      <c r="R8" t="inlineStr"/>
      <c r="S8" t="inlineStr"/>
      <c r="T8" t="inlineStr"/>
      <c r="U8" t="inlineStr"/>
      <c r="V8" t="inlineStr"/>
      <c r="W8" t="inlineStr"/>
      <c r="X8" t="inlineStr"/>
    </row>
    <row r="9">
      <c r="A9" t="inlineStr">
        <is>
          <t>DEP-008</t>
        </is>
      </c>
      <c r="B9" t="inlineStr"/>
      <c r="C9" t="inlineStr"/>
      <c r="D9" t="inlineStr"/>
      <c r="E9" t="inlineStr"/>
      <c r="F9" t="inlineStr"/>
      <c r="G9" t="inlineStr"/>
      <c r="H9" t="inlineStr"/>
      <c r="I9" t="inlineStr"/>
      <c r="J9" t="inlineStr"/>
      <c r="K9" t="inlineStr"/>
      <c r="L9" t="inlineStr"/>
      <c r="M9" t="inlineStr"/>
      <c r="N9" t="inlineStr"/>
      <c r="O9" t="inlineStr"/>
      <c r="P9" t="inlineStr"/>
      <c r="Q9" t="inlineStr"/>
      <c r="R9" t="inlineStr"/>
      <c r="S9" t="inlineStr"/>
      <c r="T9" t="inlineStr"/>
      <c r="U9" t="inlineStr"/>
      <c r="V9" t="inlineStr"/>
      <c r="W9" t="inlineStr"/>
      <c r="X9" t="inlineStr"/>
    </row>
    <row r="10">
      <c r="A10" t="inlineStr">
        <is>
          <t>DEP-009</t>
        </is>
      </c>
      <c r="B10" t="inlineStr"/>
      <c r="C10" t="inlineStr"/>
      <c r="D10" t="inlineStr"/>
      <c r="E10" t="inlineStr"/>
      <c r="F10" t="inlineStr"/>
      <c r="G10" t="inlineStr"/>
      <c r="H10" t="inlineStr"/>
      <c r="I10" t="inlineStr"/>
      <c r="J10" t="inlineStr"/>
      <c r="K10" t="inlineStr"/>
      <c r="L10" t="inlineStr"/>
      <c r="M10" t="inlineStr"/>
      <c r="N10" t="inlineStr"/>
      <c r="O10" t="inlineStr"/>
      <c r="P10" t="inlineStr"/>
      <c r="Q10" t="inlineStr"/>
      <c r="R10" t="inlineStr"/>
      <c r="S10" t="inlineStr"/>
      <c r="T10" t="inlineStr"/>
      <c r="U10" t="inlineStr"/>
      <c r="V10" t="inlineStr"/>
      <c r="W10" t="inlineStr"/>
      <c r="X10" t="inlineStr"/>
    </row>
    <row r="11">
      <c r="A11" t="inlineStr">
        <is>
          <t>DEP-010</t>
        </is>
      </c>
      <c r="B11" t="inlineStr"/>
      <c r="C11" t="inlineStr"/>
      <c r="D11" t="inlineStr"/>
      <c r="E11" t="inlineStr"/>
      <c r="F11" t="inlineStr"/>
      <c r="G11" t="inlineStr"/>
      <c r="H11" t="inlineStr"/>
      <c r="I11" t="inlineStr"/>
      <c r="J11" t="inlineStr"/>
      <c r="K11" t="inlineStr"/>
      <c r="L11" t="inlineStr"/>
      <c r="M11" t="inlineStr"/>
      <c r="N11" t="inlineStr"/>
      <c r="O11" t="inlineStr"/>
      <c r="P11" t="inlineStr"/>
      <c r="Q11" t="inlineStr"/>
      <c r="R11" t="inlineStr"/>
      <c r="S11" t="inlineStr"/>
      <c r="T11" t="inlineStr"/>
      <c r="U11" t="inlineStr"/>
      <c r="V11" t="inlineStr"/>
      <c r="W11" t="inlineStr"/>
      <c r="X11" t="inlineStr"/>
    </row>
    <row r="12">
      <c r="A12" t="inlineStr">
        <is>
          <t>DEP-011</t>
        </is>
      </c>
      <c r="B12" t="inlineStr"/>
      <c r="C12" t="inlineStr"/>
      <c r="D12" t="inlineStr"/>
      <c r="E12" t="inlineStr"/>
      <c r="F12" t="inlineStr"/>
      <c r="G12" t="inlineStr"/>
      <c r="H12" t="inlineStr"/>
      <c r="I12" t="inlineStr"/>
      <c r="J12" t="inlineStr"/>
      <c r="K12" t="inlineStr"/>
      <c r="L12" t="inlineStr"/>
      <c r="M12" t="inlineStr"/>
      <c r="N12" t="inlineStr"/>
      <c r="O12" t="inlineStr"/>
      <c r="P12" t="inlineStr"/>
      <c r="Q12" t="inlineStr"/>
      <c r="R12" t="inlineStr"/>
      <c r="S12" t="inlineStr"/>
      <c r="T12" t="inlineStr"/>
      <c r="U12" t="inlineStr"/>
      <c r="V12" t="inlineStr"/>
      <c r="W12" t="inlineStr"/>
      <c r="X12" t="inlineStr"/>
    </row>
    <row r="13">
      <c r="A13" t="inlineStr">
        <is>
          <t>DEP-012</t>
        </is>
      </c>
      <c r="B13" t="inlineStr"/>
      <c r="C13" t="inlineStr"/>
      <c r="D13" t="inlineStr"/>
      <c r="E13" t="inlineStr"/>
      <c r="F13" t="inlineStr"/>
      <c r="G13" t="inlineStr"/>
      <c r="H13" t="inlineStr"/>
      <c r="I13" t="inlineStr"/>
      <c r="J13" t="inlineStr"/>
      <c r="K13" t="inlineStr"/>
      <c r="L13" t="inlineStr"/>
      <c r="M13" t="inlineStr"/>
      <c r="N13" t="inlineStr"/>
      <c r="O13" t="inlineStr"/>
      <c r="P13" t="inlineStr"/>
      <c r="Q13" t="inlineStr"/>
      <c r="R13" t="inlineStr"/>
      <c r="S13" t="inlineStr"/>
      <c r="T13" t="inlineStr"/>
      <c r="U13" t="inlineStr"/>
      <c r="V13" t="inlineStr"/>
      <c r="W13" t="inlineStr"/>
      <c r="X13" t="inlineStr"/>
    </row>
    <row r="14">
      <c r="A14" t="inlineStr">
        <is>
          <t>DEP-013</t>
        </is>
      </c>
      <c r="B14" t="inlineStr"/>
      <c r="C14" t="inlineStr"/>
      <c r="D14" t="inlineStr"/>
      <c r="E14" t="inlineStr"/>
      <c r="F14" t="inlineStr"/>
      <c r="G14" t="inlineStr"/>
      <c r="H14" t="inlineStr"/>
      <c r="I14" t="inlineStr"/>
      <c r="J14" t="inlineStr"/>
      <c r="K14" t="inlineStr"/>
      <c r="L14" t="inlineStr"/>
      <c r="M14" t="inlineStr"/>
      <c r="N14" t="inlineStr"/>
      <c r="O14" t="inlineStr"/>
      <c r="P14" t="inlineStr"/>
      <c r="Q14" t="inlineStr"/>
      <c r="R14" t="inlineStr"/>
      <c r="S14" t="inlineStr"/>
      <c r="T14" t="inlineStr"/>
      <c r="U14" t="inlineStr"/>
      <c r="V14" t="inlineStr"/>
      <c r="W14" t="inlineStr"/>
      <c r="X14" t="inlineStr"/>
    </row>
    <row r="15">
      <c r="A15" t="inlineStr">
        <is>
          <t>DEP-014</t>
        </is>
      </c>
      <c r="B15" t="inlineStr"/>
      <c r="C15" t="inlineStr"/>
      <c r="D15" t="inlineStr"/>
      <c r="E15" t="inlineStr"/>
      <c r="F15" t="inlineStr"/>
      <c r="G15" t="inlineStr"/>
      <c r="H15" t="inlineStr"/>
      <c r="I15" t="inlineStr"/>
      <c r="J15" t="inlineStr"/>
      <c r="K15" t="inlineStr"/>
      <c r="L15" t="inlineStr"/>
      <c r="M15" t="inlineStr"/>
      <c r="N15" t="inlineStr"/>
      <c r="O15" t="inlineStr"/>
      <c r="P15" t="inlineStr"/>
      <c r="Q15" t="inlineStr"/>
      <c r="R15" t="inlineStr"/>
      <c r="S15" t="inlineStr"/>
      <c r="T15" t="inlineStr"/>
      <c r="U15" t="inlineStr"/>
      <c r="V15" t="inlineStr"/>
      <c r="W15" t="inlineStr"/>
      <c r="X15" t="inlineStr"/>
    </row>
    <row r="16">
      <c r="A16" t="inlineStr">
        <is>
          <t>DEP-015</t>
        </is>
      </c>
      <c r="B16" t="inlineStr"/>
      <c r="C16" t="inlineStr"/>
      <c r="D16" t="inlineStr"/>
      <c r="E16" t="inlineStr"/>
      <c r="F16" t="inlineStr"/>
      <c r="G16" t="inlineStr"/>
      <c r="H16" t="inlineStr"/>
      <c r="I16" t="inlineStr"/>
      <c r="J16" t="inlineStr"/>
      <c r="K16" t="inlineStr"/>
      <c r="L16" t="inlineStr"/>
      <c r="M16" t="inlineStr"/>
      <c r="N16" t="inlineStr"/>
      <c r="O16" t="inlineStr"/>
      <c r="P16" t="inlineStr"/>
      <c r="Q16" t="inlineStr"/>
      <c r="R16" t="inlineStr"/>
      <c r="S16" t="inlineStr"/>
      <c r="T16" t="inlineStr"/>
      <c r="U16" t="inlineStr"/>
      <c r="V16" t="inlineStr"/>
      <c r="W16" t="inlineStr"/>
      <c r="X16" t="inlineStr"/>
    </row>
    <row r="17">
      <c r="A17" t="inlineStr">
        <is>
          <t>DEP-016</t>
        </is>
      </c>
      <c r="B17" t="inlineStr"/>
      <c r="C17" t="inlineStr"/>
      <c r="D17" t="inlineStr"/>
      <c r="E17" t="inlineStr"/>
      <c r="F17" t="inlineStr"/>
      <c r="G17" t="inlineStr"/>
      <c r="H17" t="inlineStr"/>
      <c r="I17" t="inlineStr"/>
      <c r="J17" t="inlineStr"/>
      <c r="K17" t="inlineStr"/>
      <c r="L17" t="inlineStr"/>
      <c r="M17" t="inlineStr"/>
      <c r="N17" t="inlineStr"/>
      <c r="O17" t="inlineStr"/>
      <c r="P17" t="inlineStr"/>
      <c r="Q17" t="inlineStr"/>
      <c r="R17" t="inlineStr"/>
      <c r="S17" t="inlineStr"/>
      <c r="T17" t="inlineStr"/>
      <c r="U17" t="inlineStr"/>
      <c r="V17" t="inlineStr"/>
      <c r="W17" t="inlineStr"/>
      <c r="X17" t="inlineStr"/>
    </row>
    <row r="18">
      <c r="A18" t="inlineStr">
        <is>
          <t>DEP-017</t>
        </is>
      </c>
      <c r="B18" t="inlineStr"/>
      <c r="C18" t="inlineStr"/>
      <c r="D18" t="inlineStr"/>
      <c r="E18" t="inlineStr"/>
      <c r="F18" t="inlineStr"/>
      <c r="G18" t="inlineStr"/>
      <c r="H18" t="inlineStr"/>
      <c r="I18" t="inlineStr"/>
      <c r="J18" t="inlineStr"/>
      <c r="K18" t="inlineStr"/>
      <c r="L18" t="inlineStr"/>
      <c r="M18" t="inlineStr"/>
      <c r="N18" t="inlineStr"/>
      <c r="O18" t="inlineStr"/>
      <c r="P18" t="inlineStr"/>
      <c r="Q18" t="inlineStr"/>
      <c r="R18" t="inlineStr"/>
      <c r="S18" t="inlineStr"/>
      <c r="T18" t="inlineStr"/>
      <c r="U18" t="inlineStr"/>
      <c r="V18" t="inlineStr"/>
      <c r="W18" t="inlineStr"/>
      <c r="X18" t="inlineStr"/>
    </row>
    <row r="19">
      <c r="A19" t="inlineStr">
        <is>
          <t>DEP-018</t>
        </is>
      </c>
      <c r="B19" t="inlineStr"/>
      <c r="C19" t="inlineStr"/>
      <c r="D19" t="inlineStr"/>
      <c r="E19" t="inlineStr"/>
      <c r="F19" t="inlineStr"/>
      <c r="G19" t="inlineStr"/>
      <c r="H19" t="inlineStr"/>
      <c r="I19" t="inlineStr"/>
      <c r="J19" t="inlineStr"/>
      <c r="K19" t="inlineStr"/>
      <c r="L19" t="inlineStr"/>
      <c r="M19" t="inlineStr"/>
      <c r="N19" t="inlineStr"/>
      <c r="O19" t="inlineStr"/>
      <c r="P19" t="inlineStr"/>
      <c r="Q19" t="inlineStr"/>
      <c r="R19" t="inlineStr"/>
      <c r="S19" t="inlineStr"/>
      <c r="T19" t="inlineStr"/>
      <c r="U19" t="inlineStr"/>
      <c r="V19" t="inlineStr"/>
      <c r="W19" t="inlineStr"/>
      <c r="X19" t="inlineStr"/>
    </row>
    <row r="20">
      <c r="A20" t="inlineStr">
        <is>
          <t>DEP-019</t>
        </is>
      </c>
      <c r="B20" t="inlineStr"/>
      <c r="C20" t="inlineStr"/>
      <c r="D20" t="inlineStr"/>
      <c r="E20" t="inlineStr"/>
      <c r="F20" t="inlineStr"/>
      <c r="G20" t="inlineStr"/>
      <c r="H20" t="inlineStr"/>
      <c r="I20" t="inlineStr"/>
      <c r="J20" t="inlineStr"/>
      <c r="K20" t="inlineStr"/>
      <c r="L20" t="inlineStr"/>
      <c r="M20" t="inlineStr"/>
      <c r="N20" t="inlineStr"/>
      <c r="O20" t="inlineStr"/>
      <c r="P20" t="inlineStr"/>
      <c r="Q20" t="inlineStr"/>
      <c r="R20" t="inlineStr"/>
      <c r="S20" t="inlineStr"/>
      <c r="T20" t="inlineStr"/>
      <c r="U20" t="inlineStr"/>
      <c r="V20" t="inlineStr"/>
      <c r="W20" t="inlineStr"/>
      <c r="X20" t="inlineStr"/>
    </row>
    <row r="21">
      <c r="A21" t="inlineStr">
        <is>
          <t>DEP-020</t>
        </is>
      </c>
      <c r="B21" t="inlineStr"/>
      <c r="C21" t="inlineStr"/>
      <c r="D21" t="inlineStr"/>
      <c r="E21" t="inlineStr"/>
      <c r="F21" t="inlineStr"/>
      <c r="G21" t="inlineStr"/>
      <c r="H21" t="inlineStr"/>
      <c r="I21" t="inlineStr"/>
      <c r="J21" t="inlineStr"/>
      <c r="K21" t="inlineStr"/>
      <c r="L21" t="inlineStr"/>
      <c r="M21" t="inlineStr"/>
      <c r="N21" t="inlineStr"/>
      <c r="O21" t="inlineStr"/>
      <c r="P21" t="inlineStr"/>
      <c r="Q21" t="inlineStr"/>
      <c r="R21" t="inlineStr"/>
      <c r="S21" t="inlineStr"/>
      <c r="T21" t="inlineStr"/>
      <c r="U21" t="inlineStr"/>
      <c r="V21" t="inlineStr"/>
      <c r="W21" t="inlineStr"/>
      <c r="X21" t="inlineStr"/>
    </row>
    <row r="22">
      <c r="A22" t="inlineStr">
        <is>
          <t>DEP-021</t>
        </is>
      </c>
      <c r="B22" t="inlineStr"/>
      <c r="C22" t="inlineStr"/>
      <c r="D22" t="inlineStr"/>
      <c r="E22" t="inlineStr"/>
      <c r="F22" t="inlineStr"/>
      <c r="G22" t="inlineStr"/>
      <c r="H22" t="inlineStr"/>
      <c r="I22" t="inlineStr"/>
      <c r="J22" t="inlineStr"/>
      <c r="K22" t="inlineStr"/>
      <c r="L22" t="inlineStr"/>
      <c r="M22" t="inlineStr"/>
      <c r="N22" t="inlineStr"/>
      <c r="O22" t="inlineStr"/>
      <c r="P22" t="inlineStr"/>
      <c r="Q22" t="inlineStr"/>
      <c r="R22" t="inlineStr"/>
      <c r="S22" t="inlineStr"/>
      <c r="T22" t="inlineStr"/>
      <c r="U22" t="inlineStr"/>
      <c r="V22" t="inlineStr"/>
      <c r="W22" t="inlineStr"/>
      <c r="X22" t="inlineStr"/>
    </row>
    <row r="23">
      <c r="A23" t="inlineStr">
        <is>
          <t>DEP-022</t>
        </is>
      </c>
      <c r="B23" t="inlineStr"/>
      <c r="C23" t="inlineStr"/>
      <c r="D23" t="inlineStr"/>
      <c r="E23" t="inlineStr"/>
      <c r="F23" t="inlineStr"/>
      <c r="G23" t="inlineStr"/>
      <c r="H23" t="inlineStr"/>
      <c r="I23" t="inlineStr"/>
      <c r="J23" t="inlineStr"/>
      <c r="K23" t="inlineStr"/>
      <c r="L23" t="inlineStr"/>
      <c r="M23" t="inlineStr"/>
      <c r="N23" t="inlineStr"/>
      <c r="O23" t="inlineStr"/>
      <c r="P23" t="inlineStr"/>
      <c r="Q23" t="inlineStr"/>
      <c r="R23" t="inlineStr"/>
      <c r="S23" t="inlineStr"/>
      <c r="T23" t="inlineStr"/>
      <c r="U23" t="inlineStr"/>
      <c r="V23" t="inlineStr"/>
      <c r="W23" t="inlineStr"/>
      <c r="X23" t="inlineStr"/>
    </row>
    <row r="24">
      <c r="A24" t="inlineStr">
        <is>
          <t>DEP-023</t>
        </is>
      </c>
      <c r="B24" t="inlineStr"/>
      <c r="C24" t="inlineStr"/>
      <c r="D24" t="inlineStr"/>
      <c r="E24" t="inlineStr"/>
      <c r="F24" t="inlineStr"/>
      <c r="G24" t="inlineStr"/>
      <c r="H24" t="inlineStr"/>
      <c r="I24" t="inlineStr"/>
      <c r="J24" t="inlineStr"/>
      <c r="K24" t="inlineStr"/>
      <c r="L24" t="inlineStr"/>
      <c r="M24" t="inlineStr"/>
      <c r="N24" t="inlineStr"/>
      <c r="O24" t="inlineStr"/>
      <c r="P24" t="inlineStr"/>
      <c r="Q24" t="inlineStr"/>
      <c r="R24" t="inlineStr"/>
      <c r="S24" t="inlineStr"/>
      <c r="T24" t="inlineStr"/>
      <c r="U24" t="inlineStr"/>
      <c r="V24" t="inlineStr"/>
      <c r="W24" t="inlineStr"/>
      <c r="X24" t="inlineStr"/>
    </row>
    <row r="25">
      <c r="A25" t="inlineStr">
        <is>
          <t>DEP-024</t>
        </is>
      </c>
      <c r="B25" t="inlineStr"/>
      <c r="C25" t="inlineStr"/>
      <c r="D25" t="inlineStr"/>
      <c r="E25" t="inlineStr"/>
      <c r="F25" t="inlineStr"/>
      <c r="G25" t="inlineStr"/>
      <c r="H25" t="inlineStr"/>
      <c r="I25" t="inlineStr"/>
      <c r="J25" t="inlineStr"/>
      <c r="K25" t="inlineStr"/>
      <c r="L25" t="inlineStr"/>
      <c r="M25" t="inlineStr"/>
      <c r="N25" t="inlineStr"/>
      <c r="O25" t="inlineStr"/>
      <c r="P25" t="inlineStr"/>
      <c r="Q25" t="inlineStr"/>
      <c r="R25" t="inlineStr"/>
      <c r="S25" t="inlineStr"/>
      <c r="T25" t="inlineStr"/>
      <c r="U25" t="inlineStr"/>
      <c r="V25" t="inlineStr"/>
      <c r="W25" t="inlineStr"/>
      <c r="X25" t="inlineStr"/>
    </row>
    <row r="26">
      <c r="A26" t="inlineStr">
        <is>
          <t>DEP-025</t>
        </is>
      </c>
      <c r="B26" t="inlineStr"/>
      <c r="C26" t="inlineStr"/>
      <c r="D26" t="inlineStr"/>
      <c r="E26" t="inlineStr"/>
      <c r="F26" t="inlineStr"/>
      <c r="G26" t="inlineStr"/>
      <c r="H26" t="inlineStr"/>
      <c r="I26" t="inlineStr"/>
      <c r="J26" t="inlineStr"/>
      <c r="K26" t="inlineStr"/>
      <c r="L26" t="inlineStr"/>
      <c r="M26" t="inlineStr"/>
      <c r="N26" t="inlineStr"/>
      <c r="O26" t="inlineStr"/>
      <c r="P26" t="inlineStr"/>
      <c r="Q26" t="inlineStr"/>
      <c r="R26" t="inlineStr"/>
      <c r="S26" t="inlineStr"/>
      <c r="T26" t="inlineStr"/>
      <c r="U26" t="inlineStr"/>
      <c r="V26" t="inlineStr"/>
      <c r="W26" t="inlineStr"/>
      <c r="X26" t="inlineStr"/>
    </row>
    <row r="27">
      <c r="A27" t="inlineStr">
        <is>
          <t>DEP-026</t>
        </is>
      </c>
      <c r="B27" t="inlineStr"/>
      <c r="C27" t="inlineStr"/>
      <c r="D27" t="inlineStr"/>
      <c r="E27" t="inlineStr"/>
      <c r="F27" t="inlineStr"/>
      <c r="G27" t="inlineStr"/>
      <c r="H27" t="inlineStr"/>
      <c r="I27" t="inlineStr"/>
      <c r="J27" t="inlineStr"/>
      <c r="K27" t="inlineStr"/>
      <c r="L27" t="inlineStr"/>
      <c r="M27" t="inlineStr"/>
      <c r="N27" t="inlineStr"/>
      <c r="O27" t="inlineStr"/>
      <c r="P27" t="inlineStr"/>
      <c r="Q27" t="inlineStr"/>
      <c r="R27" t="inlineStr"/>
      <c r="S27" t="inlineStr"/>
      <c r="T27" t="inlineStr"/>
      <c r="U27" t="inlineStr"/>
      <c r="V27" t="inlineStr"/>
      <c r="W27" t="inlineStr"/>
      <c r="X27" t="inlineStr"/>
    </row>
    <row r="28">
      <c r="A28" t="inlineStr">
        <is>
          <t>DEP-027</t>
        </is>
      </c>
      <c r="B28" t="inlineStr"/>
      <c r="C28" t="inlineStr"/>
      <c r="D28" t="inlineStr"/>
      <c r="E28" t="inlineStr"/>
      <c r="F28" t="inlineStr"/>
      <c r="G28" t="inlineStr"/>
      <c r="H28" t="inlineStr"/>
      <c r="I28" t="inlineStr"/>
      <c r="J28" t="inlineStr"/>
      <c r="K28" t="inlineStr"/>
      <c r="L28" t="inlineStr"/>
      <c r="M28" t="inlineStr"/>
      <c r="N28" t="inlineStr"/>
      <c r="O28" t="inlineStr"/>
      <c r="P28" t="inlineStr"/>
      <c r="Q28" t="inlineStr"/>
      <c r="R28" t="inlineStr"/>
      <c r="S28" t="inlineStr"/>
      <c r="T28" t="inlineStr"/>
      <c r="U28" t="inlineStr"/>
      <c r="V28" t="inlineStr"/>
      <c r="W28" t="inlineStr"/>
      <c r="X28" t="inlineStr"/>
    </row>
    <row r="29">
      <c r="A29" t="inlineStr">
        <is>
          <t>DEP-028</t>
        </is>
      </c>
      <c r="B29" t="inlineStr"/>
      <c r="C29" t="inlineStr"/>
      <c r="D29" t="inlineStr"/>
      <c r="E29" t="inlineStr"/>
      <c r="F29" t="inlineStr"/>
      <c r="G29" t="inlineStr"/>
      <c r="H29" t="inlineStr"/>
      <c r="I29" t="inlineStr"/>
      <c r="J29" t="inlineStr"/>
      <c r="K29" t="inlineStr"/>
      <c r="L29" t="inlineStr"/>
      <c r="M29" t="inlineStr"/>
      <c r="N29" t="inlineStr"/>
      <c r="O29" t="inlineStr"/>
      <c r="P29" t="inlineStr"/>
      <c r="Q29" t="inlineStr"/>
      <c r="R29" t="inlineStr"/>
      <c r="S29" t="inlineStr"/>
      <c r="T29" t="inlineStr"/>
      <c r="U29" t="inlineStr"/>
      <c r="V29" t="inlineStr"/>
      <c r="W29" t="inlineStr"/>
      <c r="X29" t="inlineStr"/>
    </row>
    <row r="30">
      <c r="A30" t="inlineStr">
        <is>
          <t>DEP-029</t>
        </is>
      </c>
      <c r="B30" t="inlineStr"/>
      <c r="C30" t="inlineStr"/>
      <c r="D30" t="inlineStr"/>
      <c r="E30" t="inlineStr"/>
      <c r="F30" t="inlineStr"/>
      <c r="G30" t="inlineStr"/>
      <c r="H30" t="inlineStr"/>
      <c r="I30" t="inlineStr"/>
      <c r="J30" t="inlineStr"/>
      <c r="K30" t="inlineStr"/>
      <c r="L30" t="inlineStr"/>
      <c r="M30" t="inlineStr"/>
      <c r="N30" t="inlineStr"/>
      <c r="O30" t="inlineStr"/>
      <c r="P30" t="inlineStr"/>
      <c r="Q30" t="inlineStr"/>
      <c r="R30" t="inlineStr"/>
      <c r="S30" t="inlineStr"/>
      <c r="T30" t="inlineStr"/>
      <c r="U30" t="inlineStr"/>
      <c r="V30" t="inlineStr"/>
      <c r="W30" t="inlineStr"/>
      <c r="X30" t="inlineStr"/>
    </row>
    <row r="31">
      <c r="A31" t="inlineStr">
        <is>
          <t>DEP-030</t>
        </is>
      </c>
      <c r="B31" t="inlineStr"/>
      <c r="C31" t="inlineStr"/>
      <c r="D31" t="inlineStr"/>
      <c r="E31" t="inlineStr"/>
      <c r="F31" t="inlineStr"/>
      <c r="G31" t="inlineStr"/>
      <c r="H31" t="inlineStr"/>
      <c r="I31" t="inlineStr"/>
      <c r="J31" t="inlineStr"/>
      <c r="K31" t="inlineStr"/>
      <c r="L31" t="inlineStr"/>
      <c r="M31" t="inlineStr"/>
      <c r="N31" t="inlineStr"/>
      <c r="O31" t="inlineStr"/>
      <c r="P31" t="inlineStr"/>
      <c r="Q31" t="inlineStr"/>
      <c r="R31" t="inlineStr"/>
      <c r="S31" t="inlineStr"/>
      <c r="T31" t="inlineStr"/>
      <c r="U31" t="inlineStr"/>
      <c r="V31" t="inlineStr"/>
      <c r="W31" t="inlineStr"/>
      <c r="X31" t="inlineStr"/>
    </row>
    <row r="32">
      <c r="A32" t="inlineStr">
        <is>
          <t>DEP-031</t>
        </is>
      </c>
      <c r="B32" t="inlineStr"/>
      <c r="C32" t="inlineStr"/>
      <c r="D32" t="inlineStr"/>
      <c r="E32" t="inlineStr"/>
      <c r="F32" t="inlineStr"/>
      <c r="G32" t="inlineStr"/>
      <c r="H32" t="inlineStr"/>
      <c r="I32" t="inlineStr"/>
      <c r="J32" t="inlineStr"/>
      <c r="K32" t="inlineStr"/>
      <c r="L32" t="inlineStr"/>
      <c r="M32" t="inlineStr"/>
      <c r="N32" t="inlineStr"/>
      <c r="O32" t="inlineStr"/>
      <c r="P32" t="inlineStr"/>
      <c r="Q32" t="inlineStr"/>
      <c r="R32" t="inlineStr"/>
      <c r="S32" t="inlineStr"/>
      <c r="T32" t="inlineStr"/>
      <c r="U32" t="inlineStr"/>
      <c r="V32" t="inlineStr"/>
      <c r="W32" t="inlineStr"/>
      <c r="X32" t="inlineStr"/>
    </row>
    <row r="33">
      <c r="A33" t="inlineStr">
        <is>
          <t>DEP-032</t>
        </is>
      </c>
      <c r="B33" t="inlineStr"/>
      <c r="C33" t="inlineStr"/>
      <c r="D33" t="inlineStr"/>
      <c r="E33" t="inlineStr"/>
      <c r="F33" t="inlineStr"/>
      <c r="G33" t="inlineStr"/>
      <c r="H33" t="inlineStr"/>
      <c r="I33" t="inlineStr"/>
      <c r="J33" t="inlineStr"/>
      <c r="K33" t="inlineStr"/>
      <c r="L33" t="inlineStr"/>
      <c r="M33" t="inlineStr"/>
      <c r="N33" t="inlineStr"/>
      <c r="O33" t="inlineStr"/>
      <c r="P33" t="inlineStr"/>
      <c r="Q33" t="inlineStr"/>
      <c r="R33" t="inlineStr"/>
      <c r="S33" t="inlineStr"/>
      <c r="T33" t="inlineStr"/>
      <c r="U33" t="inlineStr"/>
      <c r="V33" t="inlineStr"/>
      <c r="W33" t="inlineStr"/>
      <c r="X33" t="inlineStr"/>
    </row>
    <row r="34">
      <c r="A34" t="inlineStr">
        <is>
          <t>DEP-033</t>
        </is>
      </c>
      <c r="B34" t="inlineStr"/>
      <c r="C34" t="inlineStr"/>
      <c r="D34" t="inlineStr"/>
      <c r="E34" t="inlineStr"/>
      <c r="F34" t="inlineStr"/>
      <c r="G34" t="inlineStr"/>
      <c r="H34" t="inlineStr"/>
      <c r="I34" t="inlineStr"/>
      <c r="J34" t="inlineStr"/>
      <c r="K34" t="inlineStr"/>
      <c r="L34" t="inlineStr"/>
      <c r="M34" t="inlineStr"/>
      <c r="N34" t="inlineStr"/>
      <c r="O34" t="inlineStr"/>
      <c r="P34" t="inlineStr"/>
      <c r="Q34" t="inlineStr"/>
      <c r="R34" t="inlineStr"/>
      <c r="S34" t="inlineStr"/>
      <c r="T34" t="inlineStr"/>
      <c r="U34" t="inlineStr"/>
      <c r="V34" t="inlineStr"/>
      <c r="W34" t="inlineStr"/>
      <c r="X34" t="inlineStr"/>
    </row>
    <row r="35">
      <c r="A35" t="inlineStr">
        <is>
          <t>DEP-034</t>
        </is>
      </c>
      <c r="B35" t="inlineStr"/>
      <c r="C35" t="inlineStr"/>
      <c r="D35" t="inlineStr"/>
      <c r="E35" t="inlineStr"/>
      <c r="F35" t="inlineStr"/>
      <c r="G35" t="inlineStr"/>
      <c r="H35" t="inlineStr"/>
      <c r="I35" t="inlineStr"/>
      <c r="J35" t="inlineStr"/>
      <c r="K35" t="inlineStr"/>
      <c r="L35" t="inlineStr"/>
      <c r="M35" t="inlineStr"/>
      <c r="N35" t="inlineStr"/>
      <c r="O35" t="inlineStr"/>
      <c r="P35" t="inlineStr"/>
      <c r="Q35" t="inlineStr"/>
      <c r="R35" t="inlineStr"/>
      <c r="S35" t="inlineStr"/>
      <c r="T35" t="inlineStr"/>
      <c r="U35" t="inlineStr"/>
      <c r="V35" t="inlineStr"/>
      <c r="W35" t="inlineStr"/>
      <c r="X35" t="inlineStr"/>
    </row>
    <row r="36">
      <c r="A36" t="inlineStr">
        <is>
          <t>DEP-035</t>
        </is>
      </c>
      <c r="B36" t="inlineStr"/>
      <c r="C36" t="inlineStr"/>
      <c r="D36" t="inlineStr"/>
      <c r="E36" t="inlineStr"/>
      <c r="F36" t="inlineStr"/>
      <c r="G36" t="inlineStr"/>
      <c r="H36" t="inlineStr"/>
      <c r="I36" t="inlineStr"/>
      <c r="J36" t="inlineStr"/>
      <c r="K36" t="inlineStr"/>
      <c r="L36" t="inlineStr"/>
      <c r="M36" t="inlineStr"/>
      <c r="N36" t="inlineStr"/>
      <c r="O36" t="inlineStr"/>
      <c r="P36" t="inlineStr"/>
      <c r="Q36" t="inlineStr"/>
      <c r="R36" t="inlineStr"/>
      <c r="S36" t="inlineStr"/>
      <c r="T36" t="inlineStr"/>
      <c r="U36" t="inlineStr"/>
      <c r="V36" t="inlineStr"/>
      <c r="W36" t="inlineStr"/>
      <c r="X36" t="inlineStr"/>
    </row>
    <row r="37">
      <c r="A37" t="inlineStr">
        <is>
          <t>DEP-036</t>
        </is>
      </c>
      <c r="B37" t="inlineStr"/>
      <c r="C37" t="inlineStr"/>
      <c r="D37" t="inlineStr"/>
      <c r="E37" t="inlineStr"/>
      <c r="F37" t="inlineStr"/>
      <c r="G37" t="inlineStr"/>
      <c r="H37" t="inlineStr"/>
      <c r="I37" t="inlineStr"/>
      <c r="J37" t="inlineStr"/>
      <c r="K37" t="inlineStr"/>
      <c r="L37" t="inlineStr"/>
      <c r="M37" t="inlineStr"/>
      <c r="N37" t="inlineStr"/>
      <c r="O37" t="inlineStr"/>
      <c r="P37" t="inlineStr"/>
      <c r="Q37" t="inlineStr"/>
      <c r="R37" t="inlineStr"/>
      <c r="S37" t="inlineStr"/>
      <c r="T37" t="inlineStr"/>
      <c r="U37" t="inlineStr"/>
      <c r="V37" t="inlineStr"/>
      <c r="W37" t="inlineStr"/>
      <c r="X37" t="inlineStr"/>
    </row>
    <row r="38">
      <c r="A38" t="inlineStr">
        <is>
          <t>DEP-037</t>
        </is>
      </c>
      <c r="B38" t="inlineStr"/>
      <c r="C38" t="inlineStr"/>
      <c r="D38" t="inlineStr"/>
      <c r="E38" t="inlineStr"/>
      <c r="F38" t="inlineStr"/>
      <c r="G38" t="inlineStr"/>
      <c r="H38" t="inlineStr"/>
      <c r="I38" t="inlineStr"/>
      <c r="J38" t="inlineStr"/>
      <c r="K38" t="inlineStr"/>
      <c r="L38" t="inlineStr"/>
      <c r="M38" t="inlineStr"/>
      <c r="N38" t="inlineStr"/>
      <c r="O38" t="inlineStr"/>
      <c r="P38" t="inlineStr"/>
      <c r="Q38" t="inlineStr"/>
      <c r="R38" t="inlineStr"/>
      <c r="S38" t="inlineStr"/>
      <c r="T38" t="inlineStr"/>
      <c r="U38" t="inlineStr"/>
      <c r="V38" t="inlineStr"/>
      <c r="W38" t="inlineStr"/>
      <c r="X38" t="inlineStr"/>
    </row>
    <row r="39">
      <c r="A39" t="inlineStr">
        <is>
          <t>DEP-038</t>
        </is>
      </c>
      <c r="B39" t="inlineStr"/>
      <c r="C39" t="inlineStr"/>
      <c r="D39" t="inlineStr"/>
      <c r="E39" t="inlineStr"/>
      <c r="F39" t="inlineStr"/>
      <c r="G39" t="inlineStr"/>
      <c r="H39" t="inlineStr"/>
      <c r="I39" t="inlineStr"/>
      <c r="J39" t="inlineStr"/>
      <c r="K39" t="inlineStr"/>
      <c r="L39" t="inlineStr"/>
      <c r="M39" t="inlineStr"/>
      <c r="N39" t="inlineStr"/>
      <c r="O39" t="inlineStr"/>
      <c r="P39" t="inlineStr"/>
      <c r="Q39" t="inlineStr"/>
      <c r="R39" t="inlineStr"/>
      <c r="S39" t="inlineStr"/>
      <c r="T39" t="inlineStr"/>
      <c r="U39" t="inlineStr"/>
      <c r="V39" t="inlineStr"/>
      <c r="W39" t="inlineStr"/>
      <c r="X39" t="inlineStr"/>
    </row>
    <row r="40">
      <c r="A40" t="inlineStr">
        <is>
          <t>DEP-039</t>
        </is>
      </c>
      <c r="B40" t="inlineStr"/>
      <c r="C40" t="inlineStr"/>
      <c r="D40" t="inlineStr"/>
      <c r="E40" t="inlineStr"/>
      <c r="F40" t="inlineStr"/>
      <c r="G40" t="inlineStr"/>
      <c r="H40" t="inlineStr"/>
      <c r="I40" t="inlineStr"/>
      <c r="J40" t="inlineStr"/>
      <c r="K40" t="inlineStr"/>
      <c r="L40" t="inlineStr"/>
      <c r="M40" t="inlineStr"/>
      <c r="N40" t="inlineStr"/>
      <c r="O40" t="inlineStr"/>
      <c r="P40" t="inlineStr"/>
      <c r="Q40" t="inlineStr"/>
      <c r="R40" t="inlineStr"/>
      <c r="S40" t="inlineStr"/>
      <c r="T40" t="inlineStr"/>
      <c r="U40" t="inlineStr"/>
      <c r="V40" t="inlineStr"/>
      <c r="W40" t="inlineStr"/>
      <c r="X40" t="inlineStr"/>
    </row>
    <row r="41">
      <c r="A41" t="inlineStr">
        <is>
          <t>DEP-040</t>
        </is>
      </c>
      <c r="B41" t="inlineStr"/>
      <c r="C41" t="inlineStr"/>
      <c r="D41" t="inlineStr"/>
      <c r="E41" t="inlineStr"/>
      <c r="F41" t="inlineStr"/>
      <c r="G41" t="inlineStr"/>
      <c r="H41" t="inlineStr"/>
      <c r="I41" t="inlineStr"/>
      <c r="J41" t="inlineStr"/>
      <c r="K41" t="inlineStr"/>
      <c r="L41" t="inlineStr"/>
      <c r="M41" t="inlineStr"/>
      <c r="N41" t="inlineStr"/>
      <c r="O41" t="inlineStr"/>
      <c r="P41" t="inlineStr"/>
      <c r="Q41" t="inlineStr"/>
      <c r="R41" t="inlineStr"/>
      <c r="S41" t="inlineStr"/>
      <c r="T41" t="inlineStr"/>
      <c r="U41" t="inlineStr"/>
      <c r="V41" t="inlineStr"/>
      <c r="W41" t="inlineStr"/>
      <c r="X41" t="inlineStr"/>
    </row>
    <row r="42">
      <c r="A42" t="inlineStr">
        <is>
          <t>DEP-041</t>
        </is>
      </c>
      <c r="B42" t="inlineStr"/>
      <c r="C42" t="inlineStr"/>
      <c r="D42" t="inlineStr"/>
      <c r="E42" t="inlineStr"/>
      <c r="F42" t="inlineStr"/>
      <c r="G42" t="inlineStr"/>
      <c r="H42" t="inlineStr"/>
      <c r="I42" t="inlineStr"/>
      <c r="J42" t="inlineStr"/>
      <c r="K42" t="inlineStr"/>
      <c r="L42" t="inlineStr"/>
      <c r="M42" t="inlineStr"/>
      <c r="N42" t="inlineStr"/>
      <c r="O42" t="inlineStr"/>
      <c r="P42" t="inlineStr"/>
      <c r="Q42" t="inlineStr"/>
      <c r="R42" t="inlineStr"/>
      <c r="S42" t="inlineStr"/>
      <c r="T42" t="inlineStr"/>
      <c r="U42" t="inlineStr"/>
      <c r="V42" t="inlineStr"/>
      <c r="W42" t="inlineStr"/>
      <c r="X42" t="inlineStr"/>
    </row>
    <row r="43">
      <c r="A43" t="inlineStr">
        <is>
          <t>DEP-042</t>
        </is>
      </c>
      <c r="B43" t="inlineStr"/>
      <c r="C43" t="inlineStr"/>
      <c r="D43" t="inlineStr"/>
      <c r="E43" t="inlineStr"/>
      <c r="F43" t="inlineStr"/>
      <c r="G43" t="inlineStr"/>
      <c r="H43" t="inlineStr"/>
      <c r="I43" t="inlineStr"/>
      <c r="J43" t="inlineStr"/>
      <c r="K43" t="inlineStr"/>
      <c r="L43" t="inlineStr"/>
      <c r="M43" t="inlineStr"/>
      <c r="N43" t="inlineStr"/>
      <c r="O43" t="inlineStr"/>
      <c r="P43" t="inlineStr"/>
      <c r="Q43" t="inlineStr"/>
      <c r="R43" t="inlineStr"/>
      <c r="S43" t="inlineStr"/>
      <c r="T43" t="inlineStr"/>
      <c r="U43" t="inlineStr"/>
      <c r="V43" t="inlineStr"/>
      <c r="W43" t="inlineStr"/>
      <c r="X43" t="inlineStr"/>
    </row>
    <row r="44">
      <c r="A44" t="inlineStr">
        <is>
          <t>DEP-043</t>
        </is>
      </c>
      <c r="B44" t="inlineStr"/>
      <c r="C44" t="inlineStr"/>
      <c r="D44" t="inlineStr"/>
      <c r="E44" t="inlineStr"/>
      <c r="F44" t="inlineStr"/>
      <c r="G44" t="inlineStr"/>
      <c r="H44" t="inlineStr"/>
      <c r="I44" t="inlineStr"/>
      <c r="J44" t="inlineStr"/>
      <c r="K44" t="inlineStr"/>
      <c r="L44" t="inlineStr"/>
      <c r="M44" t="inlineStr"/>
      <c r="N44" t="inlineStr"/>
      <c r="O44" t="inlineStr"/>
      <c r="P44" t="inlineStr"/>
      <c r="Q44" t="inlineStr"/>
      <c r="R44" t="inlineStr"/>
      <c r="S44" t="inlineStr"/>
      <c r="T44" t="inlineStr"/>
      <c r="U44" t="inlineStr"/>
      <c r="V44" t="inlineStr"/>
      <c r="W44" t="inlineStr"/>
      <c r="X44" t="inlineStr"/>
    </row>
    <row r="45">
      <c r="A45" t="inlineStr">
        <is>
          <t>DEP-044</t>
        </is>
      </c>
      <c r="B45" t="inlineStr"/>
      <c r="C45" t="inlineStr"/>
      <c r="D45" t="inlineStr"/>
      <c r="E45" t="inlineStr"/>
      <c r="F45" t="inlineStr"/>
      <c r="G45" t="inlineStr"/>
      <c r="H45" t="inlineStr"/>
      <c r="I45" t="inlineStr"/>
      <c r="J45" t="inlineStr"/>
      <c r="K45" t="inlineStr"/>
      <c r="L45" t="inlineStr"/>
      <c r="M45" t="inlineStr"/>
      <c r="N45" t="inlineStr"/>
      <c r="O45" t="inlineStr"/>
      <c r="P45" t="inlineStr"/>
      <c r="Q45" t="inlineStr"/>
      <c r="R45" t="inlineStr"/>
      <c r="S45" t="inlineStr"/>
      <c r="T45" t="inlineStr"/>
      <c r="U45" t="inlineStr"/>
      <c r="V45" t="inlineStr"/>
      <c r="W45" t="inlineStr"/>
      <c r="X45" t="inlineStr"/>
    </row>
    <row r="46">
      <c r="A46" t="inlineStr">
        <is>
          <t>DEP-045</t>
        </is>
      </c>
      <c r="B46" t="inlineStr"/>
      <c r="C46" t="inlineStr"/>
      <c r="D46" t="inlineStr"/>
      <c r="E46" t="inlineStr"/>
      <c r="F46" t="inlineStr"/>
      <c r="G46" t="inlineStr"/>
      <c r="H46" t="inlineStr"/>
      <c r="I46" t="inlineStr"/>
      <c r="J46" t="inlineStr"/>
      <c r="K46" t="inlineStr"/>
      <c r="L46" t="inlineStr"/>
      <c r="M46" t="inlineStr"/>
      <c r="N46" t="inlineStr"/>
      <c r="O46" t="inlineStr"/>
      <c r="P46" t="inlineStr"/>
      <c r="Q46" t="inlineStr"/>
      <c r="R46" t="inlineStr"/>
      <c r="S46" t="inlineStr"/>
      <c r="T46" t="inlineStr"/>
      <c r="U46" t="inlineStr"/>
      <c r="V46" t="inlineStr"/>
      <c r="W46" t="inlineStr"/>
      <c r="X46" t="inlineStr"/>
    </row>
    <row r="47">
      <c r="A47" t="inlineStr">
        <is>
          <t>DEP-046</t>
        </is>
      </c>
      <c r="B47" t="inlineStr"/>
      <c r="C47" t="inlineStr"/>
      <c r="D47" t="inlineStr"/>
      <c r="E47" t="inlineStr"/>
      <c r="F47" t="inlineStr"/>
      <c r="G47" t="inlineStr"/>
      <c r="H47" t="inlineStr"/>
      <c r="I47" t="inlineStr"/>
      <c r="J47" t="inlineStr"/>
      <c r="K47" t="inlineStr"/>
      <c r="L47" t="inlineStr"/>
      <c r="M47" t="inlineStr"/>
      <c r="N47" t="inlineStr"/>
      <c r="O47" t="inlineStr"/>
      <c r="P47" t="inlineStr"/>
      <c r="Q47" t="inlineStr"/>
      <c r="R47" t="inlineStr"/>
      <c r="S47" t="inlineStr"/>
      <c r="T47" t="inlineStr"/>
      <c r="U47" t="inlineStr"/>
      <c r="V47" t="inlineStr"/>
      <c r="W47" t="inlineStr"/>
      <c r="X47" t="inlineStr"/>
    </row>
    <row r="48">
      <c r="A48" t="inlineStr">
        <is>
          <t>DEP-047</t>
        </is>
      </c>
      <c r="B48" t="inlineStr"/>
      <c r="C48" t="inlineStr"/>
      <c r="D48" t="inlineStr"/>
      <c r="E48" t="inlineStr"/>
      <c r="F48" t="inlineStr"/>
      <c r="G48" t="inlineStr"/>
      <c r="H48" t="inlineStr"/>
      <c r="I48" t="inlineStr"/>
      <c r="J48" t="inlineStr"/>
      <c r="K48" t="inlineStr"/>
      <c r="L48" t="inlineStr"/>
      <c r="M48" t="inlineStr"/>
      <c r="N48" t="inlineStr"/>
      <c r="O48" t="inlineStr"/>
      <c r="P48" t="inlineStr"/>
      <c r="Q48" t="inlineStr"/>
      <c r="R48" t="inlineStr"/>
      <c r="S48" t="inlineStr"/>
      <c r="T48" t="inlineStr"/>
      <c r="U48" t="inlineStr"/>
      <c r="V48" t="inlineStr"/>
      <c r="W48" t="inlineStr"/>
      <c r="X48" t="inlineStr"/>
    </row>
    <row r="49">
      <c r="A49" t="inlineStr">
        <is>
          <t>DEP-048</t>
        </is>
      </c>
      <c r="B49" t="inlineStr"/>
      <c r="C49" t="inlineStr"/>
      <c r="D49" t="inlineStr"/>
      <c r="E49" t="inlineStr"/>
      <c r="F49" t="inlineStr"/>
      <c r="G49" t="inlineStr"/>
      <c r="H49" t="inlineStr"/>
      <c r="I49" t="inlineStr"/>
      <c r="J49" t="inlineStr"/>
      <c r="K49" t="inlineStr"/>
      <c r="L49" t="inlineStr"/>
      <c r="M49" t="inlineStr"/>
      <c r="N49" t="inlineStr"/>
      <c r="O49" t="inlineStr"/>
      <c r="P49" t="inlineStr"/>
      <c r="Q49" t="inlineStr"/>
      <c r="R49" t="inlineStr"/>
      <c r="S49" t="inlineStr"/>
      <c r="T49" t="inlineStr"/>
      <c r="U49" t="inlineStr"/>
      <c r="V49" t="inlineStr"/>
      <c r="W49" t="inlineStr"/>
      <c r="X49" t="inlineStr"/>
    </row>
    <row r="50">
      <c r="A50" t="inlineStr">
        <is>
          <t>DEP-049</t>
        </is>
      </c>
      <c r="B50" t="inlineStr"/>
      <c r="C50" t="inlineStr"/>
      <c r="D50" t="inlineStr"/>
      <c r="E50" t="inlineStr"/>
      <c r="F50" t="inlineStr"/>
      <c r="G50" t="inlineStr"/>
      <c r="H50" t="inlineStr"/>
      <c r="I50" t="inlineStr"/>
      <c r="J50" t="inlineStr"/>
      <c r="K50" t="inlineStr"/>
      <c r="L50" t="inlineStr"/>
      <c r="M50" t="inlineStr"/>
      <c r="N50" t="inlineStr"/>
      <c r="O50" t="inlineStr"/>
      <c r="P50" t="inlineStr"/>
      <c r="Q50" t="inlineStr"/>
      <c r="R50" t="inlineStr"/>
      <c r="S50" t="inlineStr"/>
      <c r="T50" t="inlineStr"/>
      <c r="U50" t="inlineStr"/>
      <c r="V50" t="inlineStr"/>
      <c r="W50" t="inlineStr"/>
      <c r="X50" t="inlineStr"/>
    </row>
    <row r="51">
      <c r="A51" t="inlineStr">
        <is>
          <t>DEP-050</t>
        </is>
      </c>
      <c r="B51" t="inlineStr"/>
      <c r="C51" t="inlineStr"/>
      <c r="D51" t="inlineStr"/>
      <c r="E51" t="inlineStr"/>
      <c r="F51" t="inlineStr"/>
      <c r="G51" t="inlineStr"/>
      <c r="H51" t="inlineStr"/>
      <c r="I51" t="inlineStr"/>
      <c r="J51" t="inlineStr"/>
      <c r="K51" t="inlineStr"/>
      <c r="L51" t="inlineStr"/>
      <c r="M51" t="inlineStr"/>
      <c r="N51" t="inlineStr"/>
      <c r="O51" t="inlineStr"/>
      <c r="P51" t="inlineStr"/>
      <c r="Q51" t="inlineStr"/>
      <c r="R51" t="inlineStr"/>
      <c r="S51" t="inlineStr"/>
      <c r="T51" t="inlineStr"/>
      <c r="U51" t="inlineStr"/>
      <c r="V51" t="inlineStr"/>
      <c r="W51" t="inlineStr"/>
      <c r="X51" t="inlineStr"/>
    </row>
    <row r="52">
      <c r="A52" t="inlineStr">
        <is>
          <t>DEP-051</t>
        </is>
      </c>
      <c r="B52" t="inlineStr"/>
      <c r="C52" t="inlineStr"/>
      <c r="D52" t="inlineStr"/>
      <c r="E52" t="inlineStr"/>
      <c r="F52" t="inlineStr"/>
      <c r="G52" t="inlineStr"/>
      <c r="H52" t="inlineStr"/>
      <c r="I52" t="inlineStr"/>
      <c r="J52" t="inlineStr"/>
      <c r="K52" t="inlineStr"/>
      <c r="L52" t="inlineStr"/>
      <c r="M52" t="inlineStr"/>
      <c r="N52" t="inlineStr"/>
      <c r="O52" t="inlineStr"/>
      <c r="P52" t="inlineStr"/>
      <c r="Q52" t="inlineStr"/>
      <c r="R52" t="inlineStr"/>
      <c r="S52" t="inlineStr"/>
      <c r="T52" t="inlineStr"/>
      <c r="U52" t="inlineStr"/>
      <c r="V52" t="inlineStr"/>
      <c r="W52" t="inlineStr"/>
      <c r="X52" t="inlineStr"/>
    </row>
    <row r="53">
      <c r="A53" t="inlineStr">
        <is>
          <t>DEP-052</t>
        </is>
      </c>
      <c r="B53" t="inlineStr"/>
      <c r="C53" t="inlineStr"/>
      <c r="D53" t="inlineStr"/>
      <c r="E53" t="inlineStr"/>
      <c r="F53" t="inlineStr"/>
      <c r="G53" t="inlineStr"/>
      <c r="H53" t="inlineStr"/>
      <c r="I53" t="inlineStr"/>
      <c r="J53" t="inlineStr"/>
      <c r="K53" t="inlineStr"/>
      <c r="L53" t="inlineStr"/>
      <c r="M53" t="inlineStr"/>
      <c r="N53" t="inlineStr"/>
      <c r="O53" t="inlineStr"/>
      <c r="P53" t="inlineStr"/>
      <c r="Q53" t="inlineStr"/>
      <c r="R53" t="inlineStr"/>
      <c r="S53" t="inlineStr"/>
      <c r="T53" t="inlineStr"/>
      <c r="U53" t="inlineStr"/>
      <c r="V53" t="inlineStr"/>
      <c r="W53" t="inlineStr"/>
      <c r="X53" t="inlineStr"/>
    </row>
    <row r="54">
      <c r="A54" t="inlineStr">
        <is>
          <t>DEP-053</t>
        </is>
      </c>
      <c r="B54" t="inlineStr"/>
      <c r="C54" t="inlineStr"/>
      <c r="D54" t="inlineStr"/>
      <c r="E54" t="inlineStr"/>
      <c r="F54" t="inlineStr"/>
      <c r="G54" t="inlineStr"/>
      <c r="H54" t="inlineStr"/>
      <c r="I54" t="inlineStr"/>
      <c r="J54" t="inlineStr"/>
      <c r="K54" t="inlineStr"/>
      <c r="L54" t="inlineStr"/>
      <c r="M54" t="inlineStr"/>
      <c r="N54" t="inlineStr"/>
      <c r="O54" t="inlineStr"/>
      <c r="P54" t="inlineStr"/>
      <c r="Q54" t="inlineStr"/>
      <c r="R54" t="inlineStr"/>
      <c r="S54" t="inlineStr"/>
      <c r="T54" t="inlineStr"/>
      <c r="U54" t="inlineStr"/>
      <c r="V54" t="inlineStr"/>
      <c r="W54" t="inlineStr"/>
      <c r="X54" t="inlineStr"/>
    </row>
    <row r="55">
      <c r="A55" t="inlineStr">
        <is>
          <t>DEP-054</t>
        </is>
      </c>
      <c r="B55" t="inlineStr"/>
      <c r="C55" t="inlineStr"/>
      <c r="D55" t="inlineStr"/>
      <c r="E55" t="inlineStr"/>
      <c r="F55" t="inlineStr"/>
      <c r="G55" t="inlineStr"/>
      <c r="H55" t="inlineStr"/>
      <c r="I55" t="inlineStr"/>
      <c r="J55" t="inlineStr"/>
      <c r="K55" t="inlineStr"/>
      <c r="L55" t="inlineStr"/>
      <c r="M55" t="inlineStr"/>
      <c r="N55" t="inlineStr"/>
      <c r="O55" t="inlineStr"/>
      <c r="P55" t="inlineStr"/>
      <c r="Q55" t="inlineStr"/>
      <c r="R55" t="inlineStr"/>
      <c r="S55" t="inlineStr"/>
      <c r="T55" t="inlineStr"/>
      <c r="U55" t="inlineStr"/>
      <c r="V55" t="inlineStr"/>
      <c r="W55" t="inlineStr"/>
      <c r="X55" t="inlineStr"/>
    </row>
    <row r="56">
      <c r="A56" t="inlineStr">
        <is>
          <t>DEP-055</t>
        </is>
      </c>
      <c r="B56" t="inlineStr"/>
      <c r="C56" t="inlineStr"/>
      <c r="D56" t="inlineStr"/>
      <c r="E56" t="inlineStr"/>
      <c r="F56" t="inlineStr"/>
      <c r="G56" t="inlineStr"/>
      <c r="H56" t="inlineStr"/>
      <c r="I56" t="inlineStr"/>
      <c r="J56" t="inlineStr"/>
      <c r="K56" t="inlineStr"/>
      <c r="L56" t="inlineStr"/>
      <c r="M56" t="inlineStr"/>
      <c r="N56" t="inlineStr"/>
      <c r="O56" t="inlineStr"/>
      <c r="P56" t="inlineStr"/>
      <c r="Q56" t="inlineStr"/>
      <c r="R56" t="inlineStr"/>
      <c r="S56" t="inlineStr"/>
      <c r="T56" t="inlineStr"/>
      <c r="U56" t="inlineStr"/>
      <c r="V56" t="inlineStr"/>
      <c r="W56" t="inlineStr"/>
      <c r="X56" t="inlineStr"/>
    </row>
    <row r="57">
      <c r="A57" t="inlineStr">
        <is>
          <t>DEP-056</t>
        </is>
      </c>
      <c r="B57" t="inlineStr"/>
      <c r="C57" t="inlineStr"/>
      <c r="D57" t="inlineStr"/>
      <c r="E57" t="inlineStr"/>
      <c r="F57" t="inlineStr"/>
      <c r="G57" t="inlineStr"/>
      <c r="H57" t="inlineStr"/>
      <c r="I57" t="inlineStr"/>
      <c r="J57" t="inlineStr"/>
      <c r="K57" t="inlineStr"/>
      <c r="L57" t="inlineStr"/>
      <c r="M57" t="inlineStr"/>
      <c r="N57" t="inlineStr"/>
      <c r="O57" t="inlineStr"/>
      <c r="P57" t="inlineStr"/>
      <c r="Q57" t="inlineStr"/>
      <c r="R57" t="inlineStr"/>
      <c r="S57" t="inlineStr"/>
      <c r="T57" t="inlineStr"/>
      <c r="U57" t="inlineStr"/>
      <c r="V57" t="inlineStr"/>
      <c r="W57" t="inlineStr"/>
      <c r="X57" t="inlineStr"/>
    </row>
    <row r="58">
      <c r="A58" t="inlineStr">
        <is>
          <t>DEP-057</t>
        </is>
      </c>
      <c r="B58" t="inlineStr"/>
      <c r="C58" t="inlineStr"/>
      <c r="D58" t="inlineStr"/>
      <c r="E58" t="inlineStr"/>
      <c r="F58" t="inlineStr"/>
      <c r="G58" t="inlineStr"/>
      <c r="H58" t="inlineStr"/>
      <c r="I58" t="inlineStr"/>
      <c r="J58" t="inlineStr"/>
      <c r="K58" t="inlineStr"/>
      <c r="L58" t="inlineStr"/>
      <c r="M58" t="inlineStr"/>
      <c r="N58" t="inlineStr"/>
      <c r="O58" t="inlineStr"/>
      <c r="P58" t="inlineStr"/>
      <c r="Q58" t="inlineStr"/>
      <c r="R58" t="inlineStr"/>
      <c r="S58" t="inlineStr"/>
      <c r="T58" t="inlineStr"/>
      <c r="U58" t="inlineStr"/>
      <c r="V58" t="inlineStr"/>
      <c r="W58" t="inlineStr"/>
      <c r="X58" t="inlineStr"/>
    </row>
    <row r="59">
      <c r="A59" t="inlineStr">
        <is>
          <t>DEP-058</t>
        </is>
      </c>
      <c r="B59" t="inlineStr"/>
      <c r="C59" t="inlineStr"/>
      <c r="D59" t="inlineStr"/>
      <c r="E59" t="inlineStr"/>
      <c r="F59" t="inlineStr"/>
      <c r="G59" t="inlineStr"/>
      <c r="H59" t="inlineStr"/>
      <c r="I59" t="inlineStr"/>
      <c r="J59" t="inlineStr"/>
      <c r="K59" t="inlineStr"/>
      <c r="L59" t="inlineStr"/>
      <c r="M59" t="inlineStr"/>
      <c r="N59" t="inlineStr"/>
      <c r="O59" t="inlineStr"/>
      <c r="P59" t="inlineStr"/>
      <c r="Q59" t="inlineStr"/>
      <c r="R59" t="inlineStr"/>
      <c r="S59" t="inlineStr"/>
      <c r="T59" t="inlineStr"/>
      <c r="U59" t="inlineStr"/>
      <c r="V59" t="inlineStr"/>
      <c r="W59" t="inlineStr"/>
      <c r="X59" t="inlineStr"/>
    </row>
    <row r="60">
      <c r="A60" t="inlineStr">
        <is>
          <t>DEP-059</t>
        </is>
      </c>
      <c r="B60" t="inlineStr"/>
      <c r="C60" t="inlineStr"/>
      <c r="D60" t="inlineStr"/>
      <c r="E60" t="inlineStr"/>
      <c r="F60" t="inlineStr"/>
      <c r="G60" t="inlineStr"/>
      <c r="H60" t="inlineStr"/>
      <c r="I60" t="inlineStr"/>
      <c r="J60" t="inlineStr"/>
      <c r="K60" t="inlineStr"/>
      <c r="L60" t="inlineStr"/>
      <c r="M60" t="inlineStr"/>
      <c r="N60" t="inlineStr"/>
      <c r="O60" t="inlineStr"/>
      <c r="P60" t="inlineStr"/>
      <c r="Q60" t="inlineStr"/>
      <c r="R60" t="inlineStr"/>
      <c r="S60" t="inlineStr"/>
      <c r="T60" t="inlineStr"/>
      <c r="U60" t="inlineStr"/>
      <c r="V60" t="inlineStr"/>
      <c r="W60" t="inlineStr"/>
      <c r="X60" t="inlineStr"/>
    </row>
    <row r="61">
      <c r="A61" t="inlineStr">
        <is>
          <t>DEP-060</t>
        </is>
      </c>
      <c r="B61" t="inlineStr"/>
      <c r="C61" t="inlineStr"/>
      <c r="D61" t="inlineStr"/>
      <c r="E61" t="inlineStr"/>
      <c r="F61" t="inlineStr"/>
      <c r="G61" t="inlineStr"/>
      <c r="H61" t="inlineStr"/>
      <c r="I61" t="inlineStr"/>
      <c r="J61" t="inlineStr"/>
      <c r="K61" t="inlineStr"/>
      <c r="L61" t="inlineStr"/>
      <c r="M61" t="inlineStr"/>
      <c r="N61" t="inlineStr"/>
      <c r="O61" t="inlineStr"/>
      <c r="P61" t="inlineStr"/>
      <c r="Q61" t="inlineStr"/>
      <c r="R61" t="inlineStr"/>
      <c r="S61" t="inlineStr"/>
      <c r="T61" t="inlineStr"/>
      <c r="U61" t="inlineStr"/>
      <c r="V61" t="inlineStr"/>
      <c r="W61" t="inlineStr"/>
      <c r="X61" t="inlineStr"/>
    </row>
    <row r="62">
      <c r="A62" t="inlineStr">
        <is>
          <t>DEP-061</t>
        </is>
      </c>
      <c r="B62" t="inlineStr"/>
      <c r="C62" t="inlineStr"/>
      <c r="D62" t="inlineStr"/>
      <c r="E62" t="inlineStr"/>
      <c r="F62" t="inlineStr"/>
      <c r="G62" t="inlineStr"/>
      <c r="H62" t="inlineStr"/>
      <c r="I62" t="inlineStr"/>
      <c r="J62" t="inlineStr"/>
      <c r="K62" t="inlineStr"/>
      <c r="L62" t="inlineStr"/>
      <c r="M62" t="inlineStr"/>
      <c r="N62" t="inlineStr"/>
      <c r="O62" t="inlineStr"/>
      <c r="P62" t="inlineStr"/>
      <c r="Q62" t="inlineStr"/>
      <c r="R62" t="inlineStr"/>
      <c r="S62" t="inlineStr"/>
      <c r="T62" t="inlineStr"/>
      <c r="U62" t="inlineStr"/>
      <c r="V62" t="inlineStr"/>
      <c r="W62" t="inlineStr"/>
      <c r="X62" t="inlineStr"/>
    </row>
    <row r="63">
      <c r="A63" t="inlineStr">
        <is>
          <t>DEP-062</t>
        </is>
      </c>
      <c r="B63" t="inlineStr"/>
      <c r="C63" t="inlineStr"/>
      <c r="D63" t="inlineStr"/>
      <c r="E63" t="inlineStr"/>
      <c r="F63" t="inlineStr"/>
      <c r="G63" t="inlineStr"/>
      <c r="H63" t="inlineStr"/>
      <c r="I63" t="inlineStr"/>
      <c r="J63" t="inlineStr"/>
      <c r="K63" t="inlineStr"/>
      <c r="L63" t="inlineStr"/>
      <c r="M63" t="inlineStr"/>
      <c r="N63" t="inlineStr"/>
      <c r="O63" t="inlineStr"/>
      <c r="P63" t="inlineStr"/>
      <c r="Q63" t="inlineStr"/>
      <c r="R63" t="inlineStr"/>
      <c r="S63" t="inlineStr"/>
      <c r="T63" t="inlineStr"/>
      <c r="U63" t="inlineStr"/>
      <c r="V63" t="inlineStr"/>
      <c r="W63" t="inlineStr"/>
      <c r="X63" t="inlineStr"/>
    </row>
    <row r="64">
      <c r="A64" t="inlineStr">
        <is>
          <t>DEP-063</t>
        </is>
      </c>
      <c r="B64" t="inlineStr"/>
      <c r="C64" t="inlineStr"/>
      <c r="D64" t="inlineStr"/>
      <c r="E64" t="inlineStr"/>
      <c r="F64" t="inlineStr"/>
      <c r="G64" t="inlineStr"/>
      <c r="H64" t="inlineStr"/>
      <c r="I64" t="inlineStr"/>
      <c r="J64" t="inlineStr"/>
      <c r="K64" t="inlineStr"/>
      <c r="L64" t="inlineStr"/>
      <c r="M64" t="inlineStr"/>
      <c r="N64" t="inlineStr"/>
      <c r="O64" t="inlineStr"/>
      <c r="P64" t="inlineStr"/>
      <c r="Q64" t="inlineStr"/>
      <c r="R64" t="inlineStr"/>
      <c r="S64" t="inlineStr"/>
      <c r="T64" t="inlineStr"/>
      <c r="U64" t="inlineStr"/>
      <c r="V64" t="inlineStr"/>
      <c r="W64" t="inlineStr"/>
      <c r="X64" t="inlineStr"/>
    </row>
    <row r="65">
      <c r="A65" t="inlineStr">
        <is>
          <t>DEP-064</t>
        </is>
      </c>
      <c r="B65" t="inlineStr"/>
      <c r="C65" t="inlineStr"/>
      <c r="D65" t="inlineStr"/>
      <c r="E65" t="inlineStr"/>
      <c r="F65" t="inlineStr"/>
      <c r="G65" t="inlineStr"/>
      <c r="H65" t="inlineStr"/>
      <c r="I65" t="inlineStr"/>
      <c r="J65" t="inlineStr"/>
      <c r="K65" t="inlineStr"/>
      <c r="L65" t="inlineStr"/>
      <c r="M65" t="inlineStr"/>
      <c r="N65" t="inlineStr"/>
      <c r="O65" t="inlineStr"/>
      <c r="P65" t="inlineStr"/>
      <c r="Q65" t="inlineStr"/>
      <c r="R65" t="inlineStr"/>
      <c r="S65" t="inlineStr"/>
      <c r="T65" t="inlineStr"/>
      <c r="U65" t="inlineStr"/>
      <c r="V65" t="inlineStr"/>
      <c r="W65" t="inlineStr"/>
      <c r="X65" t="inlineStr"/>
    </row>
    <row r="66">
      <c r="A66" t="inlineStr">
        <is>
          <t>DEP-065</t>
        </is>
      </c>
      <c r="B66" t="inlineStr"/>
      <c r="C66" t="inlineStr"/>
      <c r="D66" t="inlineStr"/>
      <c r="E66" t="inlineStr"/>
      <c r="F66" t="inlineStr"/>
      <c r="G66" t="inlineStr"/>
      <c r="H66" t="inlineStr"/>
      <c r="I66" t="inlineStr"/>
      <c r="J66" t="inlineStr"/>
      <c r="K66" t="inlineStr"/>
      <c r="L66" t="inlineStr"/>
      <c r="M66" t="inlineStr"/>
      <c r="N66" t="inlineStr"/>
      <c r="O66" t="inlineStr"/>
      <c r="P66" t="inlineStr"/>
      <c r="Q66" t="inlineStr"/>
      <c r="R66" t="inlineStr"/>
      <c r="S66" t="inlineStr"/>
      <c r="T66" t="inlineStr"/>
      <c r="U66" t="inlineStr"/>
      <c r="V66" t="inlineStr"/>
      <c r="W66" t="inlineStr"/>
      <c r="X66" t="inlineStr"/>
    </row>
    <row r="67">
      <c r="A67" t="inlineStr">
        <is>
          <t>DEP-066</t>
        </is>
      </c>
      <c r="B67" t="inlineStr"/>
      <c r="C67" t="inlineStr"/>
      <c r="D67" t="inlineStr"/>
      <c r="E67" t="inlineStr"/>
      <c r="F67" t="inlineStr"/>
      <c r="G67" t="inlineStr"/>
      <c r="H67" t="inlineStr"/>
      <c r="I67" t="inlineStr"/>
      <c r="J67" t="inlineStr"/>
      <c r="K67" t="inlineStr"/>
      <c r="L67" t="inlineStr"/>
      <c r="M67" t="inlineStr"/>
      <c r="N67" t="inlineStr"/>
      <c r="O67" t="inlineStr"/>
      <c r="P67" t="inlineStr"/>
      <c r="Q67" t="inlineStr"/>
      <c r="R67" t="inlineStr"/>
      <c r="S67" t="inlineStr"/>
      <c r="T67" t="inlineStr"/>
      <c r="U67" t="inlineStr"/>
      <c r="V67" t="inlineStr"/>
      <c r="W67" t="inlineStr"/>
      <c r="X67" t="inlineStr"/>
    </row>
    <row r="68">
      <c r="A68" t="inlineStr">
        <is>
          <t>DEP-067</t>
        </is>
      </c>
      <c r="B68" t="inlineStr"/>
      <c r="C68" t="inlineStr"/>
      <c r="D68" t="inlineStr"/>
      <c r="E68" t="inlineStr"/>
      <c r="F68" t="inlineStr"/>
      <c r="G68" t="inlineStr"/>
      <c r="H68" t="inlineStr"/>
      <c r="I68" t="inlineStr"/>
      <c r="J68" t="inlineStr"/>
      <c r="K68" t="inlineStr"/>
      <c r="L68" t="inlineStr"/>
      <c r="M68" t="inlineStr"/>
      <c r="N68" t="inlineStr"/>
      <c r="O68" t="inlineStr"/>
      <c r="P68" t="inlineStr"/>
      <c r="Q68" t="inlineStr"/>
      <c r="R68" t="inlineStr"/>
      <c r="S68" t="inlineStr"/>
      <c r="T68" t="inlineStr"/>
      <c r="U68" t="inlineStr"/>
      <c r="V68" t="inlineStr"/>
      <c r="W68" t="inlineStr"/>
      <c r="X68" t="inlineStr"/>
    </row>
    <row r="69">
      <c r="A69" t="inlineStr">
        <is>
          <t>DEP-068</t>
        </is>
      </c>
      <c r="B69" t="inlineStr"/>
      <c r="C69" t="inlineStr"/>
      <c r="D69" t="inlineStr"/>
      <c r="E69" t="inlineStr"/>
      <c r="F69" t="inlineStr"/>
      <c r="G69" t="inlineStr"/>
      <c r="H69" t="inlineStr"/>
      <c r="I69" t="inlineStr"/>
      <c r="J69" t="inlineStr"/>
      <c r="K69" t="inlineStr"/>
      <c r="L69" t="inlineStr"/>
      <c r="M69" t="inlineStr"/>
      <c r="N69" t="inlineStr"/>
      <c r="O69" t="inlineStr"/>
      <c r="P69" t="inlineStr"/>
      <c r="Q69" t="inlineStr"/>
      <c r="R69" t="inlineStr"/>
      <c r="S69" t="inlineStr"/>
      <c r="T69" t="inlineStr"/>
      <c r="U69" t="inlineStr"/>
      <c r="V69" t="inlineStr"/>
      <c r="W69" t="inlineStr"/>
      <c r="X69" t="inlineStr"/>
    </row>
    <row r="70">
      <c r="A70" t="inlineStr">
        <is>
          <t>DEP-069</t>
        </is>
      </c>
      <c r="B70" t="inlineStr"/>
      <c r="C70" t="inlineStr"/>
      <c r="D70" t="inlineStr"/>
      <c r="E70" t="inlineStr"/>
      <c r="F70" t="inlineStr"/>
      <c r="G70" t="inlineStr"/>
      <c r="H70" t="inlineStr"/>
      <c r="I70" t="inlineStr"/>
      <c r="J70" t="inlineStr"/>
      <c r="K70" t="inlineStr"/>
      <c r="L70" t="inlineStr"/>
      <c r="M70" t="inlineStr"/>
      <c r="N70" t="inlineStr"/>
      <c r="O70" t="inlineStr"/>
      <c r="P70" t="inlineStr"/>
      <c r="Q70" t="inlineStr"/>
      <c r="R70" t="inlineStr"/>
      <c r="S70" t="inlineStr"/>
      <c r="T70" t="inlineStr"/>
      <c r="U70" t="inlineStr"/>
      <c r="V70" t="inlineStr"/>
      <c r="W70" t="inlineStr"/>
      <c r="X70" t="inlineStr"/>
    </row>
    <row r="71">
      <c r="A71" t="inlineStr">
        <is>
          <t>DEP-070</t>
        </is>
      </c>
      <c r="B71" t="inlineStr"/>
      <c r="C71" t="inlineStr"/>
      <c r="D71" t="inlineStr"/>
      <c r="E71" t="inlineStr"/>
      <c r="F71" t="inlineStr"/>
      <c r="G71" t="inlineStr"/>
      <c r="H71" t="inlineStr"/>
      <c r="I71" t="inlineStr"/>
      <c r="J71" t="inlineStr"/>
      <c r="K71" t="inlineStr"/>
      <c r="L71" t="inlineStr"/>
      <c r="M71" t="inlineStr"/>
      <c r="N71" t="inlineStr"/>
      <c r="O71" t="inlineStr"/>
      <c r="P71" t="inlineStr"/>
      <c r="Q71" t="inlineStr"/>
      <c r="R71" t="inlineStr"/>
      <c r="S71" t="inlineStr"/>
      <c r="T71" t="inlineStr"/>
      <c r="U71" t="inlineStr"/>
      <c r="V71" t="inlineStr"/>
      <c r="W71" t="inlineStr"/>
      <c r="X71" t="inlineStr"/>
    </row>
    <row r="72">
      <c r="A72" t="inlineStr">
        <is>
          <t>DEP-071</t>
        </is>
      </c>
      <c r="B72" t="inlineStr"/>
      <c r="C72" t="inlineStr"/>
      <c r="D72" t="inlineStr"/>
      <c r="E72" t="inlineStr"/>
      <c r="F72" t="inlineStr"/>
      <c r="G72" t="inlineStr"/>
      <c r="H72" t="inlineStr"/>
      <c r="I72" t="inlineStr"/>
      <c r="J72" t="inlineStr"/>
      <c r="K72" t="inlineStr"/>
      <c r="L72" t="inlineStr"/>
      <c r="M72" t="inlineStr"/>
      <c r="N72" t="inlineStr"/>
      <c r="O72" t="inlineStr"/>
      <c r="P72" t="inlineStr"/>
      <c r="Q72" t="inlineStr"/>
      <c r="R72" t="inlineStr"/>
      <c r="S72" t="inlineStr"/>
      <c r="T72" t="inlineStr"/>
      <c r="U72" t="inlineStr"/>
      <c r="V72" t="inlineStr"/>
      <c r="W72" t="inlineStr"/>
      <c r="X72" t="inlineStr"/>
    </row>
    <row r="73">
      <c r="A73" t="inlineStr">
        <is>
          <t>DEP-072</t>
        </is>
      </c>
      <c r="B73" t="inlineStr"/>
      <c r="C73" t="inlineStr"/>
      <c r="D73" t="inlineStr"/>
      <c r="E73" t="inlineStr"/>
      <c r="F73" t="inlineStr"/>
      <c r="G73" t="inlineStr"/>
      <c r="H73" t="inlineStr"/>
      <c r="I73" t="inlineStr"/>
      <c r="J73" t="inlineStr"/>
      <c r="K73" t="inlineStr"/>
      <c r="L73" t="inlineStr"/>
      <c r="M73" t="inlineStr"/>
      <c r="N73" t="inlineStr"/>
      <c r="O73" t="inlineStr"/>
      <c r="P73" t="inlineStr"/>
      <c r="Q73" t="inlineStr"/>
      <c r="R73" t="inlineStr"/>
      <c r="S73" t="inlineStr"/>
      <c r="T73" t="inlineStr"/>
      <c r="U73" t="inlineStr"/>
      <c r="V73" t="inlineStr"/>
      <c r="W73" t="inlineStr"/>
      <c r="X73" t="inlineStr"/>
    </row>
    <row r="74">
      <c r="A74" t="inlineStr">
        <is>
          <t>DEP-073</t>
        </is>
      </c>
      <c r="B74" t="inlineStr"/>
      <c r="C74" t="inlineStr"/>
      <c r="D74" t="inlineStr"/>
      <c r="E74" t="inlineStr"/>
      <c r="F74" t="inlineStr"/>
      <c r="G74" t="inlineStr"/>
      <c r="H74" t="inlineStr"/>
      <c r="I74" t="inlineStr"/>
      <c r="J74" t="inlineStr"/>
      <c r="K74" t="inlineStr"/>
      <c r="L74" t="inlineStr"/>
      <c r="M74" t="inlineStr"/>
      <c r="N74" t="inlineStr"/>
      <c r="O74" t="inlineStr"/>
      <c r="P74" t="inlineStr"/>
      <c r="Q74" t="inlineStr"/>
      <c r="R74" t="inlineStr"/>
      <c r="S74" t="inlineStr"/>
      <c r="T74" t="inlineStr"/>
      <c r="U74" t="inlineStr"/>
      <c r="V74" t="inlineStr"/>
      <c r="W74" t="inlineStr"/>
      <c r="X74" t="inlineStr"/>
    </row>
    <row r="75">
      <c r="A75" t="inlineStr">
        <is>
          <t>DEP-074</t>
        </is>
      </c>
      <c r="B75" t="inlineStr"/>
      <c r="C75" t="inlineStr"/>
      <c r="D75" t="inlineStr"/>
      <c r="E75" t="inlineStr"/>
      <c r="F75" t="inlineStr"/>
      <c r="G75" t="inlineStr"/>
      <c r="H75" t="inlineStr"/>
      <c r="I75" t="inlineStr"/>
      <c r="J75" t="inlineStr"/>
      <c r="K75" t="inlineStr"/>
      <c r="L75" t="inlineStr"/>
      <c r="M75" t="inlineStr"/>
      <c r="N75" t="inlineStr"/>
      <c r="O75" t="inlineStr"/>
      <c r="P75" t="inlineStr"/>
      <c r="Q75" t="inlineStr"/>
      <c r="R75" t="inlineStr"/>
      <c r="S75" t="inlineStr"/>
      <c r="T75" t="inlineStr"/>
      <c r="U75" t="inlineStr"/>
      <c r="V75" t="inlineStr"/>
      <c r="W75" t="inlineStr"/>
      <c r="X75" t="inlineStr"/>
    </row>
    <row r="76">
      <c r="A76" t="inlineStr">
        <is>
          <t>DEP-075</t>
        </is>
      </c>
      <c r="B76" t="inlineStr"/>
      <c r="C76" t="inlineStr"/>
      <c r="D76" t="inlineStr"/>
      <c r="E76" t="inlineStr"/>
      <c r="F76" t="inlineStr"/>
      <c r="G76" t="inlineStr"/>
      <c r="H76" t="inlineStr"/>
      <c r="I76" t="inlineStr"/>
      <c r="J76" t="inlineStr"/>
      <c r="K76" t="inlineStr"/>
      <c r="L76" t="inlineStr"/>
      <c r="M76" t="inlineStr"/>
      <c r="N76" t="inlineStr"/>
      <c r="O76" t="inlineStr"/>
      <c r="P76" t="inlineStr"/>
      <c r="Q76" t="inlineStr"/>
      <c r="R76" t="inlineStr"/>
      <c r="S76" t="inlineStr"/>
      <c r="T76" t="inlineStr"/>
      <c r="U76" t="inlineStr"/>
      <c r="V76" t="inlineStr"/>
      <c r="W76" t="inlineStr"/>
      <c r="X76" t="inlineStr"/>
    </row>
    <row r="77">
      <c r="A77" t="inlineStr">
        <is>
          <t>DEP-076</t>
        </is>
      </c>
      <c r="B77" t="inlineStr"/>
      <c r="C77" t="inlineStr"/>
      <c r="D77" t="inlineStr"/>
      <c r="E77" t="inlineStr"/>
      <c r="F77" t="inlineStr"/>
      <c r="G77" t="inlineStr"/>
      <c r="H77" t="inlineStr"/>
      <c r="I77" t="inlineStr"/>
      <c r="J77" t="inlineStr"/>
      <c r="K77" t="inlineStr"/>
      <c r="L77" t="inlineStr"/>
      <c r="M77" t="inlineStr"/>
      <c r="N77" t="inlineStr"/>
      <c r="O77" t="inlineStr"/>
      <c r="P77" t="inlineStr"/>
      <c r="Q77" t="inlineStr"/>
      <c r="R77" t="inlineStr"/>
      <c r="S77" t="inlineStr"/>
      <c r="T77" t="inlineStr"/>
      <c r="U77" t="inlineStr"/>
      <c r="V77" t="inlineStr"/>
      <c r="W77" t="inlineStr"/>
      <c r="X77" t="inlineStr"/>
    </row>
    <row r="78">
      <c r="A78" t="inlineStr">
        <is>
          <t>DEP-077</t>
        </is>
      </c>
      <c r="B78" t="inlineStr"/>
      <c r="C78" t="inlineStr"/>
      <c r="D78" t="inlineStr"/>
      <c r="E78" t="inlineStr"/>
      <c r="F78" t="inlineStr"/>
      <c r="G78" t="inlineStr"/>
      <c r="H78" t="inlineStr"/>
      <c r="I78" t="inlineStr"/>
      <c r="J78" t="inlineStr"/>
      <c r="K78" t="inlineStr"/>
      <c r="L78" t="inlineStr"/>
      <c r="M78" t="inlineStr"/>
      <c r="N78" t="inlineStr"/>
      <c r="O78" t="inlineStr"/>
      <c r="P78" t="inlineStr"/>
      <c r="Q78" t="inlineStr"/>
      <c r="R78" t="inlineStr"/>
      <c r="S78" t="inlineStr"/>
      <c r="T78" t="inlineStr"/>
      <c r="U78" t="inlineStr"/>
      <c r="V78" t="inlineStr"/>
      <c r="W78" t="inlineStr"/>
      <c r="X78" t="inlineStr"/>
    </row>
    <row r="79">
      <c r="A79" t="inlineStr">
        <is>
          <t>DEP-078</t>
        </is>
      </c>
      <c r="B79" t="inlineStr"/>
      <c r="C79" t="inlineStr"/>
      <c r="D79" t="inlineStr"/>
      <c r="E79" t="inlineStr"/>
      <c r="F79" t="inlineStr"/>
      <c r="G79" t="inlineStr"/>
      <c r="H79" t="inlineStr"/>
      <c r="I79" t="inlineStr"/>
      <c r="J79" t="inlineStr"/>
      <c r="K79" t="inlineStr"/>
      <c r="L79" t="inlineStr"/>
      <c r="M79" t="inlineStr"/>
      <c r="N79" t="inlineStr"/>
      <c r="O79" t="inlineStr"/>
      <c r="P79" t="inlineStr"/>
      <c r="Q79" t="inlineStr"/>
      <c r="R79" t="inlineStr"/>
      <c r="S79" t="inlineStr"/>
      <c r="T79" t="inlineStr"/>
      <c r="U79" t="inlineStr"/>
      <c r="V79" t="inlineStr"/>
      <c r="W79" t="inlineStr"/>
      <c r="X79" t="inlineStr"/>
    </row>
    <row r="80">
      <c r="A80" t="inlineStr">
        <is>
          <t>DEP-079</t>
        </is>
      </c>
      <c r="B80" t="inlineStr"/>
      <c r="C80" t="inlineStr"/>
      <c r="D80" t="inlineStr"/>
      <c r="E80" t="inlineStr"/>
      <c r="F80" t="inlineStr"/>
      <c r="G80" t="inlineStr"/>
      <c r="H80" t="inlineStr"/>
      <c r="I80" t="inlineStr"/>
      <c r="J80" t="inlineStr"/>
      <c r="K80" t="inlineStr"/>
      <c r="L80" t="inlineStr"/>
      <c r="M80" t="inlineStr"/>
      <c r="N80" t="inlineStr"/>
      <c r="O80" t="inlineStr"/>
      <c r="P80" t="inlineStr"/>
      <c r="Q80" t="inlineStr"/>
      <c r="R80" t="inlineStr"/>
      <c r="S80" t="inlineStr"/>
      <c r="T80" t="inlineStr"/>
      <c r="U80" t="inlineStr"/>
      <c r="V80" t="inlineStr"/>
      <c r="W80" t="inlineStr"/>
      <c r="X80" t="inlineStr"/>
    </row>
    <row r="81">
      <c r="A81" t="inlineStr">
        <is>
          <t>DEP-080</t>
        </is>
      </c>
      <c r="B81" t="inlineStr"/>
      <c r="C81" t="inlineStr"/>
      <c r="D81" t="inlineStr"/>
      <c r="E81" t="inlineStr"/>
      <c r="F81" t="inlineStr"/>
      <c r="G81" t="inlineStr"/>
      <c r="H81" t="inlineStr"/>
      <c r="I81" t="inlineStr"/>
      <c r="J81" t="inlineStr"/>
      <c r="K81" t="inlineStr"/>
      <c r="L81" t="inlineStr"/>
      <c r="M81" t="inlineStr"/>
      <c r="N81" t="inlineStr"/>
      <c r="O81" t="inlineStr"/>
      <c r="P81" t="inlineStr"/>
      <c r="Q81" t="inlineStr"/>
      <c r="R81" t="inlineStr"/>
      <c r="S81" t="inlineStr"/>
      <c r="T81" t="inlineStr"/>
      <c r="U81" t="inlineStr"/>
      <c r="V81" t="inlineStr"/>
      <c r="W81" t="inlineStr"/>
      <c r="X81" t="inlineStr"/>
    </row>
    <row r="82">
      <c r="A82" t="inlineStr">
        <is>
          <t>DEP-081</t>
        </is>
      </c>
      <c r="B82" t="inlineStr"/>
      <c r="C82" t="inlineStr"/>
      <c r="D82" t="inlineStr"/>
      <c r="E82" t="inlineStr"/>
      <c r="F82" t="inlineStr"/>
      <c r="G82" t="inlineStr"/>
      <c r="H82" t="inlineStr"/>
      <c r="I82" t="inlineStr"/>
      <c r="J82" t="inlineStr"/>
      <c r="K82" t="inlineStr"/>
      <c r="L82" t="inlineStr"/>
      <c r="M82" t="inlineStr"/>
      <c r="N82" t="inlineStr"/>
      <c r="O82" t="inlineStr"/>
      <c r="P82" t="inlineStr"/>
      <c r="Q82" t="inlineStr"/>
      <c r="R82" t="inlineStr"/>
      <c r="S82" t="inlineStr"/>
      <c r="T82" t="inlineStr"/>
      <c r="U82" t="inlineStr"/>
      <c r="V82" t="inlineStr"/>
      <c r="W82" t="inlineStr"/>
      <c r="X82" t="inlineStr"/>
    </row>
    <row r="83">
      <c r="A83" t="inlineStr">
        <is>
          <t>DEP-082</t>
        </is>
      </c>
      <c r="B83" t="inlineStr"/>
      <c r="C83" t="inlineStr"/>
      <c r="D83" t="inlineStr"/>
      <c r="E83" t="inlineStr"/>
      <c r="F83" t="inlineStr"/>
      <c r="G83" t="inlineStr"/>
      <c r="H83" t="inlineStr"/>
      <c r="I83" t="inlineStr"/>
      <c r="J83" t="inlineStr"/>
      <c r="K83" t="inlineStr"/>
      <c r="L83" t="inlineStr"/>
      <c r="M83" t="inlineStr"/>
      <c r="N83" t="inlineStr"/>
      <c r="O83" t="inlineStr"/>
      <c r="P83" t="inlineStr"/>
      <c r="Q83" t="inlineStr"/>
      <c r="R83" t="inlineStr"/>
      <c r="S83" t="inlineStr"/>
      <c r="T83" t="inlineStr"/>
      <c r="U83" t="inlineStr"/>
      <c r="V83" t="inlineStr"/>
      <c r="W83" t="inlineStr"/>
      <c r="X83" t="inlineStr"/>
    </row>
    <row r="84">
      <c r="A84" t="inlineStr">
        <is>
          <t>DEP-083</t>
        </is>
      </c>
      <c r="B84" t="inlineStr"/>
      <c r="C84" t="inlineStr"/>
      <c r="D84" t="inlineStr"/>
      <c r="E84" t="inlineStr"/>
      <c r="F84" t="inlineStr"/>
      <c r="G84" t="inlineStr"/>
      <c r="H84" t="inlineStr"/>
      <c r="I84" t="inlineStr"/>
      <c r="J84" t="inlineStr"/>
      <c r="K84" t="inlineStr"/>
      <c r="L84" t="inlineStr"/>
      <c r="M84" t="inlineStr"/>
      <c r="N84" t="inlineStr"/>
      <c r="O84" t="inlineStr"/>
      <c r="P84" t="inlineStr"/>
      <c r="Q84" t="inlineStr"/>
      <c r="R84" t="inlineStr"/>
      <c r="S84" t="inlineStr"/>
      <c r="T84" t="inlineStr"/>
      <c r="U84" t="inlineStr"/>
      <c r="V84" t="inlineStr"/>
      <c r="W84" t="inlineStr"/>
      <c r="X84" t="inlineStr"/>
    </row>
    <row r="85">
      <c r="A85" t="inlineStr">
        <is>
          <t>DEP-084</t>
        </is>
      </c>
      <c r="B85" t="inlineStr"/>
      <c r="C85" t="inlineStr"/>
      <c r="D85" t="inlineStr"/>
      <c r="E85" t="inlineStr"/>
      <c r="F85" t="inlineStr"/>
      <c r="G85" t="inlineStr"/>
      <c r="H85" t="inlineStr"/>
      <c r="I85" t="inlineStr"/>
      <c r="J85" t="inlineStr"/>
      <c r="K85" t="inlineStr"/>
      <c r="L85" t="inlineStr"/>
      <c r="M85" t="inlineStr"/>
      <c r="N85" t="inlineStr"/>
      <c r="O85" t="inlineStr"/>
      <c r="P85" t="inlineStr"/>
      <c r="Q85" t="inlineStr"/>
      <c r="R85" t="inlineStr"/>
      <c r="S85" t="inlineStr"/>
      <c r="T85" t="inlineStr"/>
      <c r="U85" t="inlineStr"/>
      <c r="V85" t="inlineStr"/>
      <c r="W85" t="inlineStr"/>
      <c r="X85" t="inlineStr"/>
    </row>
    <row r="86">
      <c r="A86" t="inlineStr">
        <is>
          <t>DEP-085</t>
        </is>
      </c>
      <c r="B86" t="inlineStr"/>
      <c r="C86" t="inlineStr"/>
      <c r="D86" t="inlineStr"/>
      <c r="E86" t="inlineStr"/>
      <c r="F86" t="inlineStr"/>
      <c r="G86" t="inlineStr"/>
      <c r="H86" t="inlineStr"/>
      <c r="I86" t="inlineStr"/>
      <c r="J86" t="inlineStr"/>
      <c r="K86" t="inlineStr"/>
      <c r="L86" t="inlineStr"/>
      <c r="M86" t="inlineStr"/>
      <c r="N86" t="inlineStr"/>
      <c r="O86" t="inlineStr"/>
      <c r="P86" t="inlineStr"/>
      <c r="Q86" t="inlineStr"/>
      <c r="R86" t="inlineStr"/>
      <c r="S86" t="inlineStr"/>
      <c r="T86" t="inlineStr"/>
      <c r="U86" t="inlineStr"/>
      <c r="V86" t="inlineStr"/>
      <c r="W86" t="inlineStr"/>
      <c r="X86" t="inlineStr"/>
    </row>
    <row r="87">
      <c r="A87" t="inlineStr">
        <is>
          <t>DEP-086</t>
        </is>
      </c>
      <c r="B87" t="inlineStr"/>
      <c r="C87" t="inlineStr"/>
      <c r="D87" t="inlineStr"/>
      <c r="E87" t="inlineStr"/>
      <c r="F87" t="inlineStr"/>
      <c r="G87" t="inlineStr"/>
      <c r="H87" t="inlineStr"/>
      <c r="I87" t="inlineStr"/>
      <c r="J87" t="inlineStr"/>
      <c r="K87" t="inlineStr"/>
      <c r="L87" t="inlineStr"/>
      <c r="M87" t="inlineStr"/>
      <c r="N87" t="inlineStr"/>
      <c r="O87" t="inlineStr"/>
      <c r="P87" t="inlineStr"/>
      <c r="Q87" t="inlineStr"/>
      <c r="R87" t="inlineStr"/>
      <c r="S87" t="inlineStr"/>
      <c r="T87" t="inlineStr"/>
      <c r="U87" t="inlineStr"/>
      <c r="V87" t="inlineStr"/>
      <c r="W87" t="inlineStr"/>
      <c r="X87" t="inlineStr"/>
    </row>
    <row r="88">
      <c r="A88" t="inlineStr">
        <is>
          <t>DEP-087</t>
        </is>
      </c>
      <c r="B88" t="inlineStr"/>
      <c r="C88" t="inlineStr"/>
      <c r="D88" t="inlineStr"/>
      <c r="E88" t="inlineStr"/>
      <c r="F88" t="inlineStr"/>
      <c r="G88" t="inlineStr"/>
      <c r="H88" t="inlineStr"/>
      <c r="I88" t="inlineStr"/>
      <c r="J88" t="inlineStr"/>
      <c r="K88" t="inlineStr"/>
      <c r="L88" t="inlineStr"/>
      <c r="M88" t="inlineStr"/>
      <c r="N88" t="inlineStr"/>
      <c r="O88" t="inlineStr"/>
      <c r="P88" t="inlineStr"/>
      <c r="Q88" t="inlineStr"/>
      <c r="R88" t="inlineStr"/>
      <c r="S88" t="inlineStr"/>
      <c r="T88" t="inlineStr"/>
      <c r="U88" t="inlineStr"/>
      <c r="V88" t="inlineStr"/>
      <c r="W88" t="inlineStr"/>
      <c r="X88" t="inlineStr"/>
    </row>
    <row r="89">
      <c r="A89" t="inlineStr">
        <is>
          <t>DEP-088</t>
        </is>
      </c>
      <c r="B89" t="inlineStr"/>
      <c r="C89" t="inlineStr"/>
      <c r="D89" t="inlineStr"/>
      <c r="E89" t="inlineStr"/>
      <c r="F89" t="inlineStr"/>
      <c r="G89" t="inlineStr"/>
      <c r="H89" t="inlineStr"/>
      <c r="I89" t="inlineStr"/>
      <c r="J89" t="inlineStr"/>
      <c r="K89" t="inlineStr"/>
      <c r="L89" t="inlineStr"/>
      <c r="M89" t="inlineStr"/>
      <c r="N89" t="inlineStr"/>
      <c r="O89" t="inlineStr"/>
      <c r="P89" t="inlineStr"/>
      <c r="Q89" t="inlineStr"/>
      <c r="R89" t="inlineStr"/>
      <c r="S89" t="inlineStr"/>
      <c r="T89" t="inlineStr"/>
      <c r="U89" t="inlineStr"/>
      <c r="V89" t="inlineStr"/>
      <c r="W89" t="inlineStr"/>
      <c r="X89" t="inlineStr"/>
    </row>
    <row r="90">
      <c r="A90" t="inlineStr">
        <is>
          <t>DEP-089</t>
        </is>
      </c>
      <c r="B90" t="inlineStr"/>
      <c r="C90" t="inlineStr"/>
      <c r="D90" t="inlineStr"/>
      <c r="E90" t="inlineStr"/>
      <c r="F90" t="inlineStr"/>
      <c r="G90" t="inlineStr"/>
      <c r="H90" t="inlineStr"/>
      <c r="I90" t="inlineStr"/>
      <c r="J90" t="inlineStr"/>
      <c r="K90" t="inlineStr"/>
      <c r="L90" t="inlineStr"/>
      <c r="M90" t="inlineStr"/>
      <c r="N90" t="inlineStr"/>
      <c r="O90" t="inlineStr"/>
      <c r="P90" t="inlineStr"/>
      <c r="Q90" t="inlineStr"/>
      <c r="R90" t="inlineStr"/>
      <c r="S90" t="inlineStr"/>
      <c r="T90" t="inlineStr"/>
      <c r="U90" t="inlineStr"/>
      <c r="V90" t="inlineStr"/>
      <c r="W90" t="inlineStr"/>
      <c r="X90" t="inlineStr"/>
    </row>
    <row r="91">
      <c r="A91" t="inlineStr">
        <is>
          <t>DEP-090</t>
        </is>
      </c>
      <c r="B91" t="inlineStr"/>
      <c r="C91" t="inlineStr"/>
      <c r="D91" t="inlineStr"/>
      <c r="E91" t="inlineStr"/>
      <c r="F91" t="inlineStr"/>
      <c r="G91" t="inlineStr"/>
      <c r="H91" t="inlineStr"/>
      <c r="I91" t="inlineStr"/>
      <c r="J91" t="inlineStr"/>
      <c r="K91" t="inlineStr"/>
      <c r="L91" t="inlineStr"/>
      <c r="M91" t="inlineStr"/>
      <c r="N91" t="inlineStr"/>
      <c r="O91" t="inlineStr"/>
      <c r="P91" t="inlineStr"/>
      <c r="Q91" t="inlineStr"/>
      <c r="R91" t="inlineStr"/>
      <c r="S91" t="inlineStr"/>
      <c r="T91" t="inlineStr"/>
      <c r="U91" t="inlineStr"/>
      <c r="V91" t="inlineStr"/>
      <c r="W91" t="inlineStr"/>
      <c r="X91" t="inlineStr"/>
    </row>
    <row r="92">
      <c r="A92" t="inlineStr">
        <is>
          <t>DEP-091</t>
        </is>
      </c>
      <c r="B92" t="inlineStr"/>
      <c r="C92" t="inlineStr"/>
      <c r="D92" t="inlineStr"/>
      <c r="E92" t="inlineStr"/>
      <c r="F92" t="inlineStr"/>
      <c r="G92" t="inlineStr"/>
      <c r="H92" t="inlineStr"/>
      <c r="I92" t="inlineStr"/>
      <c r="J92" t="inlineStr"/>
      <c r="K92" t="inlineStr"/>
      <c r="L92" t="inlineStr"/>
      <c r="M92" t="inlineStr"/>
      <c r="N92" t="inlineStr"/>
      <c r="O92" t="inlineStr"/>
      <c r="P92" t="inlineStr"/>
      <c r="Q92" t="inlineStr"/>
      <c r="R92" t="inlineStr"/>
      <c r="S92" t="inlineStr"/>
      <c r="T92" t="inlineStr"/>
      <c r="U92" t="inlineStr"/>
      <c r="V92" t="inlineStr"/>
      <c r="W92" t="inlineStr"/>
      <c r="X92" t="inlineStr"/>
    </row>
    <row r="93">
      <c r="A93" t="inlineStr">
        <is>
          <t>DEP-092</t>
        </is>
      </c>
      <c r="B93" t="inlineStr"/>
      <c r="C93" t="inlineStr"/>
      <c r="D93" t="inlineStr"/>
      <c r="E93" t="inlineStr"/>
      <c r="F93" t="inlineStr"/>
      <c r="G93" t="inlineStr"/>
      <c r="H93" t="inlineStr"/>
      <c r="I93" t="inlineStr"/>
      <c r="J93" t="inlineStr"/>
      <c r="K93" t="inlineStr"/>
      <c r="L93" t="inlineStr"/>
      <c r="M93" t="inlineStr"/>
      <c r="N93" t="inlineStr"/>
      <c r="O93" t="inlineStr"/>
      <c r="P93" t="inlineStr"/>
      <c r="Q93" t="inlineStr"/>
      <c r="R93" t="inlineStr"/>
      <c r="S93" t="inlineStr"/>
      <c r="T93" t="inlineStr"/>
      <c r="U93" t="inlineStr"/>
      <c r="V93" t="inlineStr"/>
      <c r="W93" t="inlineStr"/>
      <c r="X93" t="inlineStr"/>
    </row>
    <row r="94">
      <c r="A94" t="inlineStr">
        <is>
          <t>DEP-093</t>
        </is>
      </c>
      <c r="B94" t="inlineStr"/>
      <c r="C94" t="inlineStr"/>
      <c r="D94" t="inlineStr"/>
      <c r="E94" t="inlineStr"/>
      <c r="F94" t="inlineStr"/>
      <c r="G94" t="inlineStr"/>
      <c r="H94" t="inlineStr"/>
      <c r="I94" t="inlineStr"/>
      <c r="J94" t="inlineStr"/>
      <c r="K94" t="inlineStr"/>
      <c r="L94" t="inlineStr"/>
      <c r="M94" t="inlineStr"/>
      <c r="N94" t="inlineStr"/>
      <c r="O94" t="inlineStr"/>
      <c r="P94" t="inlineStr"/>
      <c r="Q94" t="inlineStr"/>
      <c r="R94" t="inlineStr"/>
      <c r="S94" t="inlineStr"/>
      <c r="T94" t="inlineStr"/>
      <c r="U94" t="inlineStr"/>
      <c r="V94" t="inlineStr"/>
      <c r="W94" t="inlineStr"/>
      <c r="X94" t="inlineStr"/>
    </row>
    <row r="95">
      <c r="A95" t="inlineStr">
        <is>
          <t>DEP-094</t>
        </is>
      </c>
      <c r="B95" t="inlineStr"/>
      <c r="C95" t="inlineStr"/>
      <c r="D95" t="inlineStr"/>
      <c r="E95" t="inlineStr"/>
      <c r="F95" t="inlineStr"/>
      <c r="G95" t="inlineStr"/>
      <c r="H95" t="inlineStr"/>
      <c r="I95" t="inlineStr"/>
      <c r="J95" t="inlineStr"/>
      <c r="K95" t="inlineStr"/>
      <c r="L95" t="inlineStr"/>
      <c r="M95" t="inlineStr"/>
      <c r="N95" t="inlineStr"/>
      <c r="O95" t="inlineStr"/>
      <c r="P95" t="inlineStr"/>
      <c r="Q95" t="inlineStr"/>
      <c r="R95" t="inlineStr"/>
      <c r="S95" t="inlineStr"/>
      <c r="T95" t="inlineStr"/>
      <c r="U95" t="inlineStr"/>
      <c r="V95" t="inlineStr"/>
      <c r="W95" t="inlineStr"/>
      <c r="X95" t="inlineStr"/>
    </row>
    <row r="96">
      <c r="A96" t="inlineStr">
        <is>
          <t>DEP-095</t>
        </is>
      </c>
      <c r="B96" t="inlineStr"/>
      <c r="C96" t="inlineStr"/>
      <c r="D96" t="inlineStr"/>
      <c r="E96" t="inlineStr"/>
      <c r="F96" t="inlineStr"/>
      <c r="G96" t="inlineStr"/>
      <c r="H96" t="inlineStr"/>
      <c r="I96" t="inlineStr"/>
      <c r="J96" t="inlineStr"/>
      <c r="K96" t="inlineStr"/>
      <c r="L96" t="inlineStr"/>
      <c r="M96" t="inlineStr"/>
      <c r="N96" t="inlineStr"/>
      <c r="O96" t="inlineStr"/>
      <c r="P96" t="inlineStr"/>
      <c r="Q96" t="inlineStr"/>
      <c r="R96" t="inlineStr"/>
      <c r="S96" t="inlineStr"/>
      <c r="T96" t="inlineStr"/>
      <c r="U96" t="inlineStr"/>
      <c r="V96" t="inlineStr"/>
      <c r="W96" t="inlineStr"/>
      <c r="X96" t="inlineStr"/>
    </row>
    <row r="97">
      <c r="A97" t="inlineStr">
        <is>
          <t>DEP-096</t>
        </is>
      </c>
      <c r="B97" t="inlineStr"/>
      <c r="C97" t="inlineStr"/>
      <c r="D97" t="inlineStr"/>
      <c r="E97" t="inlineStr"/>
      <c r="F97" t="inlineStr"/>
      <c r="G97" t="inlineStr"/>
      <c r="H97" t="inlineStr"/>
      <c r="I97" t="inlineStr"/>
      <c r="J97" t="inlineStr"/>
      <c r="K97" t="inlineStr"/>
      <c r="L97" t="inlineStr"/>
      <c r="M97" t="inlineStr"/>
      <c r="N97" t="inlineStr"/>
      <c r="O97" t="inlineStr"/>
      <c r="P97" t="inlineStr"/>
      <c r="Q97" t="inlineStr"/>
      <c r="R97" t="inlineStr"/>
      <c r="S97" t="inlineStr"/>
      <c r="T97" t="inlineStr"/>
      <c r="U97" t="inlineStr"/>
      <c r="V97" t="inlineStr"/>
      <c r="W97" t="inlineStr"/>
      <c r="X97" t="inlineStr"/>
    </row>
    <row r="98">
      <c r="A98" t="inlineStr">
        <is>
          <t>DEP-097</t>
        </is>
      </c>
      <c r="B98" t="inlineStr"/>
      <c r="C98" t="inlineStr"/>
      <c r="D98" t="inlineStr"/>
      <c r="E98" t="inlineStr"/>
      <c r="F98" t="inlineStr"/>
      <c r="G98" t="inlineStr"/>
      <c r="H98" t="inlineStr"/>
      <c r="I98" t="inlineStr"/>
      <c r="J98" t="inlineStr"/>
      <c r="K98" t="inlineStr"/>
      <c r="L98" t="inlineStr"/>
      <c r="M98" t="inlineStr"/>
      <c r="N98" t="inlineStr"/>
      <c r="O98" t="inlineStr"/>
      <c r="P98" t="inlineStr"/>
      <c r="Q98" t="inlineStr"/>
      <c r="R98" t="inlineStr"/>
      <c r="S98" t="inlineStr"/>
      <c r="T98" t="inlineStr"/>
      <c r="U98" t="inlineStr"/>
      <c r="V98" t="inlineStr"/>
      <c r="W98" t="inlineStr"/>
      <c r="X98" t="inlineStr"/>
    </row>
    <row r="99">
      <c r="A99" t="inlineStr">
        <is>
          <t>DEP-098</t>
        </is>
      </c>
      <c r="B99" t="inlineStr"/>
      <c r="C99" t="inlineStr"/>
      <c r="D99" t="inlineStr"/>
      <c r="E99" t="inlineStr"/>
      <c r="F99" t="inlineStr"/>
      <c r="G99" t="inlineStr"/>
      <c r="H99" t="inlineStr"/>
      <c r="I99" t="inlineStr"/>
      <c r="J99" t="inlineStr"/>
      <c r="K99" t="inlineStr"/>
      <c r="L99" t="inlineStr"/>
      <c r="M99" t="inlineStr"/>
      <c r="N99" t="inlineStr"/>
      <c r="O99" t="inlineStr"/>
      <c r="P99" t="inlineStr"/>
      <c r="Q99" t="inlineStr"/>
      <c r="R99" t="inlineStr"/>
      <c r="S99" t="inlineStr"/>
      <c r="T99" t="inlineStr"/>
      <c r="U99" t="inlineStr"/>
      <c r="V99" t="inlineStr"/>
      <c r="W99" t="inlineStr"/>
      <c r="X99" t="inlineStr"/>
    </row>
    <row r="100">
      <c r="A100" t="inlineStr">
        <is>
          <t>DEP-099</t>
        </is>
      </c>
      <c r="B100" t="inlineStr"/>
      <c r="C100" t="inlineStr"/>
      <c r="D100" t="inlineStr"/>
      <c r="E100" t="inlineStr"/>
      <c r="F100" t="inlineStr"/>
      <c r="G100" t="inlineStr"/>
      <c r="H100" t="inlineStr"/>
      <c r="I100" t="inlineStr"/>
      <c r="J100" t="inlineStr"/>
      <c r="K100" t="inlineStr"/>
      <c r="L100" t="inlineStr"/>
      <c r="M100" t="inlineStr"/>
      <c r="N100" t="inlineStr"/>
      <c r="O100" t="inlineStr"/>
      <c r="P100" t="inlineStr"/>
      <c r="Q100" t="inlineStr"/>
      <c r="R100" t="inlineStr"/>
      <c r="S100" t="inlineStr"/>
      <c r="T100" t="inlineStr"/>
      <c r="U100" t="inlineStr"/>
      <c r="V100" t="inlineStr"/>
      <c r="W100" t="inlineStr"/>
      <c r="X100" t="inlineStr"/>
    </row>
    <row r="101">
      <c r="A101" t="inlineStr">
        <is>
          <t>DEP-100</t>
        </is>
      </c>
      <c r="B101" t="inlineStr"/>
      <c r="C101" t="inlineStr"/>
      <c r="D101" t="inlineStr"/>
      <c r="E101" t="inlineStr"/>
      <c r="F101" t="inlineStr"/>
      <c r="G101" t="inlineStr"/>
      <c r="H101" t="inlineStr"/>
      <c r="I101" t="inlineStr"/>
      <c r="J101" t="inlineStr"/>
      <c r="K101" t="inlineStr"/>
      <c r="L101" t="inlineStr"/>
      <c r="M101" t="inlineStr"/>
      <c r="N101" t="inlineStr"/>
      <c r="O101" t="inlineStr"/>
      <c r="P101" t="inlineStr"/>
      <c r="Q101" t="inlineStr"/>
      <c r="R101" t="inlineStr"/>
      <c r="S101" t="inlineStr"/>
      <c r="T101" t="inlineStr"/>
      <c r="U101" t="inlineStr"/>
      <c r="V101" t="inlineStr"/>
      <c r="W101" t="inlineStr"/>
      <c r="X101" t="inlineStr"/>
    </row>
    <row r="102">
      <c r="A102" t="inlineStr">
        <is>
          <t>DEP-101</t>
        </is>
      </c>
      <c r="B102" t="inlineStr"/>
      <c r="C102" t="inlineStr"/>
      <c r="D102" t="inlineStr"/>
      <c r="E102" t="inlineStr"/>
      <c r="F102" t="inlineStr"/>
      <c r="G102" t="inlineStr"/>
      <c r="H102" t="inlineStr"/>
      <c r="I102" t="inlineStr"/>
      <c r="J102" t="inlineStr"/>
      <c r="K102" t="inlineStr"/>
      <c r="L102" t="inlineStr"/>
      <c r="M102" t="inlineStr"/>
      <c r="N102" t="inlineStr"/>
      <c r="O102" t="inlineStr"/>
      <c r="P102" t="inlineStr"/>
      <c r="Q102" t="inlineStr"/>
      <c r="R102" t="inlineStr"/>
      <c r="S102" t="inlineStr"/>
      <c r="T102" t="inlineStr"/>
      <c r="U102" t="inlineStr"/>
      <c r="V102" t="inlineStr"/>
      <c r="W102" t="inlineStr"/>
      <c r="X102" t="inlineStr"/>
    </row>
    <row r="103">
      <c r="A103" t="inlineStr">
        <is>
          <t>DEP-102</t>
        </is>
      </c>
      <c r="B103" t="inlineStr"/>
      <c r="C103" t="inlineStr"/>
      <c r="D103" t="inlineStr"/>
      <c r="E103" t="inlineStr"/>
      <c r="F103" t="inlineStr"/>
      <c r="G103" t="inlineStr"/>
      <c r="H103" t="inlineStr"/>
      <c r="I103" t="inlineStr"/>
      <c r="J103" t="inlineStr"/>
      <c r="K103" t="inlineStr"/>
      <c r="L103" t="inlineStr"/>
      <c r="M103" t="inlineStr"/>
      <c r="N103" t="inlineStr"/>
      <c r="O103" t="inlineStr"/>
      <c r="P103" t="inlineStr"/>
      <c r="Q103" t="inlineStr"/>
      <c r="R103" t="inlineStr"/>
      <c r="S103" t="inlineStr"/>
      <c r="T103" t="inlineStr"/>
      <c r="U103" t="inlineStr"/>
      <c r="V103" t="inlineStr"/>
      <c r="W103" t="inlineStr"/>
      <c r="X103" t="inlineStr"/>
    </row>
    <row r="104">
      <c r="A104" t="inlineStr">
        <is>
          <t>DEP-103</t>
        </is>
      </c>
      <c r="B104" t="inlineStr"/>
      <c r="C104" t="inlineStr"/>
      <c r="D104" t="inlineStr"/>
      <c r="E104" t="inlineStr"/>
      <c r="F104" t="inlineStr"/>
      <c r="G104" t="inlineStr"/>
      <c r="H104" t="inlineStr"/>
      <c r="I104" t="inlineStr"/>
      <c r="J104" t="inlineStr"/>
      <c r="K104" t="inlineStr"/>
      <c r="L104" t="inlineStr"/>
      <c r="M104" t="inlineStr"/>
      <c r="N104" t="inlineStr"/>
      <c r="O104" t="inlineStr"/>
      <c r="P104" t="inlineStr"/>
      <c r="Q104" t="inlineStr"/>
      <c r="R104" t="inlineStr"/>
      <c r="S104" t="inlineStr"/>
      <c r="T104" t="inlineStr"/>
      <c r="U104" t="inlineStr"/>
      <c r="V104" t="inlineStr"/>
      <c r="W104" t="inlineStr"/>
      <c r="X104" t="inlineStr"/>
    </row>
    <row r="105">
      <c r="A105" t="inlineStr">
        <is>
          <t>DEP-104</t>
        </is>
      </c>
      <c r="B105" t="inlineStr"/>
      <c r="C105" t="inlineStr"/>
      <c r="D105" t="inlineStr"/>
      <c r="E105" t="inlineStr"/>
      <c r="F105" t="inlineStr"/>
      <c r="G105" t="inlineStr"/>
      <c r="H105" t="inlineStr"/>
      <c r="I105" t="inlineStr"/>
      <c r="J105" t="inlineStr"/>
      <c r="K105" t="inlineStr"/>
      <c r="L105" t="inlineStr"/>
      <c r="M105" t="inlineStr"/>
      <c r="N105" t="inlineStr"/>
      <c r="O105" t="inlineStr"/>
      <c r="P105" t="inlineStr"/>
      <c r="Q105" t="inlineStr"/>
      <c r="R105" t="inlineStr"/>
      <c r="S105" t="inlineStr"/>
      <c r="T105" t="inlineStr"/>
      <c r="U105" t="inlineStr"/>
      <c r="V105" t="inlineStr"/>
      <c r="W105" t="inlineStr"/>
      <c r="X105" t="inlineStr"/>
    </row>
    <row r="106">
      <c r="A106" t="inlineStr">
        <is>
          <t>DEP-105</t>
        </is>
      </c>
      <c r="B106" t="inlineStr"/>
      <c r="C106" t="inlineStr"/>
      <c r="D106" t="inlineStr"/>
      <c r="E106" t="inlineStr"/>
      <c r="F106" t="inlineStr"/>
      <c r="G106" t="inlineStr"/>
      <c r="H106" t="inlineStr"/>
      <c r="I106" t="inlineStr"/>
      <c r="J106" t="inlineStr"/>
      <c r="K106" t="inlineStr"/>
      <c r="L106" t="inlineStr"/>
      <c r="M106" t="inlineStr"/>
      <c r="N106" t="inlineStr"/>
      <c r="O106" t="inlineStr"/>
      <c r="P106" t="inlineStr"/>
      <c r="Q106" t="inlineStr"/>
      <c r="R106" t="inlineStr"/>
      <c r="S106" t="inlineStr"/>
      <c r="T106" t="inlineStr"/>
      <c r="U106" t="inlineStr"/>
      <c r="V106" t="inlineStr"/>
      <c r="W106" t="inlineStr"/>
      <c r="X106" t="inlineStr"/>
    </row>
    <row r="107">
      <c r="A107" t="inlineStr">
        <is>
          <t>DEP-106</t>
        </is>
      </c>
      <c r="B107" t="inlineStr"/>
      <c r="C107" t="inlineStr"/>
      <c r="D107" t="inlineStr"/>
      <c r="E107" t="inlineStr"/>
      <c r="F107" t="inlineStr"/>
      <c r="G107" t="inlineStr"/>
      <c r="H107" t="inlineStr"/>
      <c r="I107" t="inlineStr"/>
      <c r="J107" t="inlineStr"/>
      <c r="K107" t="inlineStr"/>
      <c r="L107" t="inlineStr"/>
      <c r="M107" t="inlineStr"/>
      <c r="N107" t="inlineStr"/>
      <c r="O107" t="inlineStr"/>
      <c r="P107" t="inlineStr"/>
      <c r="Q107" t="inlineStr"/>
      <c r="R107" t="inlineStr"/>
      <c r="S107" t="inlineStr"/>
      <c r="T107" t="inlineStr"/>
      <c r="U107" t="inlineStr"/>
      <c r="V107" t="inlineStr"/>
      <c r="W107" t="inlineStr"/>
      <c r="X107" t="inlineStr"/>
    </row>
    <row r="108">
      <c r="A108" t="inlineStr">
        <is>
          <t>DEP-107</t>
        </is>
      </c>
      <c r="B108" t="inlineStr"/>
      <c r="C108" t="inlineStr"/>
      <c r="D108" t="inlineStr"/>
      <c r="E108" t="inlineStr"/>
      <c r="F108" t="inlineStr"/>
      <c r="G108" t="inlineStr"/>
      <c r="H108" t="inlineStr"/>
      <c r="I108" t="inlineStr"/>
      <c r="J108" t="inlineStr"/>
      <c r="K108" t="inlineStr"/>
      <c r="L108" t="inlineStr"/>
      <c r="M108" t="inlineStr"/>
      <c r="N108" t="inlineStr"/>
      <c r="O108" t="inlineStr"/>
      <c r="P108" t="inlineStr"/>
      <c r="Q108" t="inlineStr"/>
      <c r="R108" t="inlineStr"/>
      <c r="S108" t="inlineStr"/>
      <c r="T108" t="inlineStr"/>
      <c r="U108" t="inlineStr"/>
      <c r="V108" t="inlineStr"/>
      <c r="W108" t="inlineStr"/>
      <c r="X108" t="inlineStr"/>
    </row>
    <row r="109">
      <c r="A109" t="inlineStr">
        <is>
          <t>DEP-108</t>
        </is>
      </c>
      <c r="B109" t="inlineStr"/>
      <c r="C109" t="inlineStr"/>
      <c r="D109" t="inlineStr"/>
      <c r="E109" t="inlineStr"/>
      <c r="F109" t="inlineStr"/>
      <c r="G109" t="inlineStr"/>
      <c r="H109" t="inlineStr"/>
      <c r="I109" t="inlineStr"/>
      <c r="J109" t="inlineStr"/>
      <c r="K109" t="inlineStr"/>
      <c r="L109" t="inlineStr"/>
      <c r="M109" t="inlineStr"/>
      <c r="N109" t="inlineStr"/>
      <c r="O109" t="inlineStr"/>
      <c r="P109" t="inlineStr"/>
      <c r="Q109" t="inlineStr"/>
      <c r="R109" t="inlineStr"/>
      <c r="S109" t="inlineStr"/>
      <c r="T109" t="inlineStr"/>
      <c r="U109" t="inlineStr"/>
      <c r="V109" t="inlineStr"/>
      <c r="W109" t="inlineStr"/>
      <c r="X109" t="inlineStr"/>
    </row>
    <row r="110">
      <c r="A110" t="inlineStr">
        <is>
          <t>DEP-109</t>
        </is>
      </c>
      <c r="B110" t="inlineStr"/>
      <c r="C110" t="inlineStr"/>
      <c r="D110" t="inlineStr"/>
      <c r="E110" t="inlineStr"/>
      <c r="F110" t="inlineStr"/>
      <c r="G110" t="inlineStr"/>
      <c r="H110" t="inlineStr"/>
      <c r="I110" t="inlineStr"/>
      <c r="J110" t="inlineStr"/>
      <c r="K110" t="inlineStr"/>
      <c r="L110" t="inlineStr"/>
      <c r="M110" t="inlineStr"/>
      <c r="N110" t="inlineStr"/>
      <c r="O110" t="inlineStr"/>
      <c r="P110" t="inlineStr"/>
      <c r="Q110" t="inlineStr"/>
      <c r="R110" t="inlineStr"/>
      <c r="S110" t="inlineStr"/>
      <c r="T110" t="inlineStr"/>
      <c r="U110" t="inlineStr"/>
      <c r="V110" t="inlineStr"/>
      <c r="W110" t="inlineStr"/>
      <c r="X110" t="inlineStr"/>
    </row>
    <row r="111">
      <c r="A111" t="inlineStr">
        <is>
          <t>DEP-110</t>
        </is>
      </c>
      <c r="B111" t="inlineStr"/>
      <c r="C111" t="inlineStr"/>
      <c r="D111" t="inlineStr"/>
      <c r="E111" t="inlineStr"/>
      <c r="F111" t="inlineStr"/>
      <c r="G111" t="inlineStr"/>
      <c r="H111" t="inlineStr"/>
      <c r="I111" t="inlineStr"/>
      <c r="J111" t="inlineStr"/>
      <c r="K111" t="inlineStr"/>
      <c r="L111" t="inlineStr"/>
      <c r="M111" t="inlineStr"/>
      <c r="N111" t="inlineStr"/>
      <c r="O111" t="inlineStr"/>
      <c r="P111" t="inlineStr"/>
      <c r="Q111" t="inlineStr"/>
      <c r="R111" t="inlineStr"/>
      <c r="S111" t="inlineStr"/>
      <c r="T111" t="inlineStr"/>
      <c r="U111" t="inlineStr"/>
      <c r="V111" t="inlineStr"/>
      <c r="W111" t="inlineStr"/>
      <c r="X111" t="inlineStr"/>
    </row>
    <row r="112">
      <c r="A112" t="inlineStr">
        <is>
          <t>DEP-111</t>
        </is>
      </c>
      <c r="B112" t="inlineStr"/>
      <c r="C112" t="inlineStr"/>
      <c r="D112" t="inlineStr"/>
      <c r="E112" t="inlineStr"/>
      <c r="F112" t="inlineStr"/>
      <c r="G112" t="inlineStr"/>
      <c r="H112" t="inlineStr"/>
      <c r="I112" t="inlineStr"/>
      <c r="J112" t="inlineStr"/>
      <c r="K112" t="inlineStr"/>
      <c r="L112" t="inlineStr"/>
      <c r="M112" t="inlineStr"/>
      <c r="N112" t="inlineStr"/>
      <c r="O112" t="inlineStr"/>
      <c r="P112" t="inlineStr"/>
      <c r="Q112" t="inlineStr"/>
      <c r="R112" t="inlineStr"/>
      <c r="S112" t="inlineStr"/>
      <c r="T112" t="inlineStr"/>
      <c r="U112" t="inlineStr"/>
      <c r="V112" t="inlineStr"/>
      <c r="W112" t="inlineStr"/>
      <c r="X112" t="inlineStr"/>
    </row>
    <row r="113">
      <c r="A113" t="inlineStr">
        <is>
          <t>DEP-112</t>
        </is>
      </c>
      <c r="B113" t="inlineStr"/>
      <c r="C113" t="inlineStr"/>
      <c r="D113" t="inlineStr"/>
      <c r="E113" t="inlineStr"/>
      <c r="F113" t="inlineStr"/>
      <c r="G113" t="inlineStr"/>
      <c r="H113" t="inlineStr"/>
      <c r="I113" t="inlineStr"/>
      <c r="J113" t="inlineStr"/>
      <c r="K113" t="inlineStr"/>
      <c r="L113" t="inlineStr"/>
      <c r="M113" t="inlineStr"/>
      <c r="N113" t="inlineStr"/>
      <c r="O113" t="inlineStr"/>
      <c r="P113" t="inlineStr"/>
      <c r="Q113" t="inlineStr"/>
      <c r="R113" t="inlineStr"/>
      <c r="S113" t="inlineStr"/>
      <c r="T113" t="inlineStr"/>
      <c r="U113" t="inlineStr"/>
      <c r="V113" t="inlineStr"/>
      <c r="W113" t="inlineStr"/>
      <c r="X113" t="inlineStr"/>
    </row>
    <row r="114">
      <c r="A114" t="inlineStr">
        <is>
          <t>DEP-113</t>
        </is>
      </c>
      <c r="B114" t="inlineStr"/>
      <c r="C114" t="inlineStr"/>
      <c r="D114" t="inlineStr"/>
      <c r="E114" t="inlineStr"/>
      <c r="F114" t="inlineStr"/>
      <c r="G114" t="inlineStr"/>
      <c r="H114" t="inlineStr"/>
      <c r="I114" t="inlineStr"/>
      <c r="J114" t="inlineStr"/>
      <c r="K114" t="inlineStr"/>
      <c r="L114" t="inlineStr"/>
      <c r="M114" t="inlineStr"/>
      <c r="N114" t="inlineStr"/>
      <c r="O114" t="inlineStr"/>
      <c r="P114" t="inlineStr"/>
      <c r="Q114" t="inlineStr"/>
      <c r="R114" t="inlineStr"/>
      <c r="S114" t="inlineStr"/>
      <c r="T114" t="inlineStr"/>
      <c r="U114" t="inlineStr"/>
      <c r="V114" t="inlineStr"/>
      <c r="W114" t="inlineStr"/>
      <c r="X114" t="inlineStr"/>
    </row>
    <row r="115">
      <c r="A115" t="inlineStr">
        <is>
          <t>DEP-114</t>
        </is>
      </c>
      <c r="B115" t="inlineStr"/>
      <c r="C115" t="inlineStr"/>
      <c r="D115" t="inlineStr"/>
      <c r="E115" t="inlineStr"/>
      <c r="F115" t="inlineStr"/>
      <c r="G115" t="inlineStr"/>
      <c r="H115" t="inlineStr"/>
      <c r="I115" t="inlineStr"/>
      <c r="J115" t="inlineStr"/>
      <c r="K115" t="inlineStr"/>
      <c r="L115" t="inlineStr"/>
      <c r="M115" t="inlineStr"/>
      <c r="N115" t="inlineStr"/>
      <c r="O115" t="inlineStr"/>
      <c r="P115" t="inlineStr"/>
      <c r="Q115" t="inlineStr"/>
      <c r="R115" t="inlineStr"/>
      <c r="S115" t="inlineStr"/>
      <c r="T115" t="inlineStr"/>
      <c r="U115" t="inlineStr"/>
      <c r="V115" t="inlineStr"/>
      <c r="W115" t="inlineStr"/>
      <c r="X115" t="inlineStr"/>
    </row>
    <row r="116">
      <c r="A116" t="inlineStr">
        <is>
          <t>DEP-115</t>
        </is>
      </c>
      <c r="B116" t="inlineStr"/>
      <c r="C116" t="inlineStr"/>
      <c r="D116" t="inlineStr"/>
      <c r="E116" t="inlineStr"/>
      <c r="F116" t="inlineStr"/>
      <c r="G116" t="inlineStr"/>
      <c r="H116" t="inlineStr"/>
      <c r="I116" t="inlineStr"/>
      <c r="J116" t="inlineStr"/>
      <c r="K116" t="inlineStr"/>
      <c r="L116" t="inlineStr"/>
      <c r="M116" t="inlineStr"/>
      <c r="N116" t="inlineStr"/>
      <c r="O116" t="inlineStr"/>
      <c r="P116" t="inlineStr"/>
      <c r="Q116" t="inlineStr"/>
      <c r="R116" t="inlineStr"/>
      <c r="S116" t="inlineStr"/>
      <c r="T116" t="inlineStr"/>
      <c r="U116" t="inlineStr"/>
      <c r="V116" t="inlineStr"/>
      <c r="W116" t="inlineStr"/>
      <c r="X116" t="inlineStr"/>
    </row>
    <row r="117">
      <c r="A117" t="inlineStr">
        <is>
          <t>DEP-116</t>
        </is>
      </c>
      <c r="B117" t="inlineStr"/>
      <c r="C117" t="inlineStr"/>
      <c r="D117" t="inlineStr"/>
      <c r="E117" t="inlineStr"/>
      <c r="F117" t="inlineStr"/>
      <c r="G117" t="inlineStr"/>
      <c r="H117" t="inlineStr"/>
      <c r="I117" t="inlineStr"/>
      <c r="J117" t="inlineStr"/>
      <c r="K117" t="inlineStr"/>
      <c r="L117" t="inlineStr"/>
      <c r="M117" t="inlineStr"/>
      <c r="N117" t="inlineStr"/>
      <c r="O117" t="inlineStr"/>
      <c r="P117" t="inlineStr"/>
      <c r="Q117" t="inlineStr"/>
      <c r="R117" t="inlineStr"/>
      <c r="S117" t="inlineStr"/>
      <c r="T117" t="inlineStr"/>
      <c r="U117" t="inlineStr"/>
      <c r="V117" t="inlineStr"/>
      <c r="W117" t="inlineStr"/>
      <c r="X117" t="inlineStr"/>
    </row>
    <row r="118">
      <c r="A118" t="inlineStr">
        <is>
          <t>DEP-117</t>
        </is>
      </c>
      <c r="B118" t="inlineStr"/>
      <c r="C118" t="inlineStr"/>
      <c r="D118" t="inlineStr"/>
      <c r="E118" t="inlineStr"/>
      <c r="F118" t="inlineStr"/>
      <c r="G118" t="inlineStr"/>
      <c r="H118" t="inlineStr"/>
      <c r="I118" t="inlineStr"/>
      <c r="J118" t="inlineStr"/>
      <c r="K118" t="inlineStr"/>
      <c r="L118" t="inlineStr"/>
      <c r="M118" t="inlineStr"/>
      <c r="N118" t="inlineStr"/>
      <c r="O118" t="inlineStr"/>
      <c r="P118" t="inlineStr"/>
      <c r="Q118" t="inlineStr"/>
      <c r="R118" t="inlineStr"/>
      <c r="S118" t="inlineStr"/>
      <c r="T118" t="inlineStr"/>
      <c r="U118" t="inlineStr"/>
      <c r="V118" t="inlineStr"/>
      <c r="W118" t="inlineStr"/>
      <c r="X118" t="inlineStr"/>
    </row>
    <row r="119">
      <c r="A119" t="inlineStr">
        <is>
          <t>DEP-118</t>
        </is>
      </c>
      <c r="B119" t="inlineStr"/>
      <c r="C119" t="inlineStr"/>
      <c r="D119" t="inlineStr"/>
      <c r="E119" t="inlineStr"/>
      <c r="F119" t="inlineStr"/>
      <c r="G119" t="inlineStr"/>
      <c r="H119" t="inlineStr"/>
      <c r="I119" t="inlineStr"/>
      <c r="J119" t="inlineStr"/>
      <c r="K119" t="inlineStr"/>
      <c r="L119" t="inlineStr"/>
      <c r="M119" t="inlineStr"/>
      <c r="N119" t="inlineStr"/>
      <c r="O119" t="inlineStr"/>
      <c r="P119" t="inlineStr"/>
      <c r="Q119" t="inlineStr"/>
      <c r="R119" t="inlineStr"/>
      <c r="S119" t="inlineStr"/>
      <c r="T119" t="inlineStr"/>
      <c r="U119" t="inlineStr"/>
      <c r="V119" t="inlineStr"/>
      <c r="W119" t="inlineStr"/>
      <c r="X119" t="inlineStr"/>
    </row>
    <row r="120">
      <c r="A120" t="inlineStr">
        <is>
          <t>DEP-119</t>
        </is>
      </c>
      <c r="B120" t="inlineStr"/>
      <c r="C120" t="inlineStr"/>
      <c r="D120" t="inlineStr"/>
      <c r="E120" t="inlineStr"/>
      <c r="F120" t="inlineStr"/>
      <c r="G120" t="inlineStr"/>
      <c r="H120" t="inlineStr"/>
      <c r="I120" t="inlineStr"/>
      <c r="J120" t="inlineStr"/>
      <c r="K120" t="inlineStr"/>
      <c r="L120" t="inlineStr"/>
      <c r="M120" t="inlineStr"/>
      <c r="N120" t="inlineStr"/>
      <c r="O120" t="inlineStr"/>
      <c r="P120" t="inlineStr"/>
      <c r="Q120" t="inlineStr"/>
      <c r="R120" t="inlineStr"/>
      <c r="S120" t="inlineStr"/>
      <c r="T120" t="inlineStr"/>
      <c r="U120" t="inlineStr"/>
      <c r="V120" t="inlineStr"/>
      <c r="W120" t="inlineStr"/>
      <c r="X120" t="inlineStr"/>
    </row>
    <row r="121">
      <c r="A121" t="inlineStr">
        <is>
          <t>DEP-120</t>
        </is>
      </c>
      <c r="B121" t="inlineStr"/>
      <c r="C121" t="inlineStr"/>
      <c r="D121" t="inlineStr"/>
      <c r="E121" t="inlineStr"/>
      <c r="F121" t="inlineStr"/>
      <c r="G121" t="inlineStr"/>
      <c r="H121" t="inlineStr"/>
      <c r="I121" t="inlineStr"/>
      <c r="J121" t="inlineStr"/>
      <c r="K121" t="inlineStr"/>
      <c r="L121" t="inlineStr"/>
      <c r="M121" t="inlineStr"/>
      <c r="N121" t="inlineStr"/>
      <c r="O121" t="inlineStr"/>
      <c r="P121" t="inlineStr"/>
      <c r="Q121" t="inlineStr"/>
      <c r="R121" t="inlineStr"/>
      <c r="S121" t="inlineStr"/>
      <c r="T121" t="inlineStr"/>
      <c r="U121" t="inlineStr"/>
      <c r="V121" t="inlineStr"/>
      <c r="W121" t="inlineStr"/>
      <c r="X121" t="inlineStr"/>
    </row>
    <row r="122">
      <c r="A122" t="inlineStr">
        <is>
          <t>DEP-121</t>
        </is>
      </c>
      <c r="B122" t="inlineStr"/>
      <c r="C122" t="inlineStr"/>
      <c r="D122" t="inlineStr"/>
      <c r="E122" t="inlineStr"/>
      <c r="F122" t="inlineStr"/>
      <c r="G122" t="inlineStr"/>
      <c r="H122" t="inlineStr"/>
      <c r="I122" t="inlineStr"/>
      <c r="J122" t="inlineStr"/>
      <c r="K122" t="inlineStr"/>
      <c r="L122" t="inlineStr"/>
      <c r="M122" t="inlineStr"/>
      <c r="N122" t="inlineStr"/>
      <c r="O122" t="inlineStr"/>
      <c r="P122" t="inlineStr"/>
      <c r="Q122" t="inlineStr"/>
      <c r="R122" t="inlineStr"/>
      <c r="S122" t="inlineStr"/>
      <c r="T122" t="inlineStr"/>
      <c r="U122" t="inlineStr"/>
      <c r="V122" t="inlineStr"/>
      <c r="W122" t="inlineStr"/>
      <c r="X122" t="inlineStr"/>
    </row>
    <row r="123">
      <c r="A123" t="inlineStr">
        <is>
          <t>DEP-122</t>
        </is>
      </c>
      <c r="B123" t="inlineStr"/>
      <c r="C123" t="inlineStr"/>
      <c r="D123" t="inlineStr"/>
      <c r="E123" t="inlineStr"/>
      <c r="F123" t="inlineStr"/>
      <c r="G123" t="inlineStr"/>
      <c r="H123" t="inlineStr"/>
      <c r="I123" t="inlineStr"/>
      <c r="J123" t="inlineStr"/>
      <c r="K123" t="inlineStr"/>
      <c r="L123" t="inlineStr"/>
      <c r="M123" t="inlineStr"/>
      <c r="N123" t="inlineStr"/>
      <c r="O123" t="inlineStr"/>
      <c r="P123" t="inlineStr"/>
      <c r="Q123" t="inlineStr"/>
      <c r="R123" t="inlineStr"/>
      <c r="S123" t="inlineStr"/>
      <c r="T123" t="inlineStr"/>
      <c r="U123" t="inlineStr"/>
      <c r="V123" t="inlineStr"/>
      <c r="W123" t="inlineStr"/>
      <c r="X123" t="inlineStr"/>
    </row>
    <row r="124">
      <c r="A124" t="inlineStr">
        <is>
          <t>DEP-123</t>
        </is>
      </c>
      <c r="B124" t="inlineStr"/>
      <c r="C124" t="inlineStr"/>
      <c r="D124" t="inlineStr"/>
      <c r="E124" t="inlineStr"/>
      <c r="F124" t="inlineStr"/>
      <c r="G124" t="inlineStr"/>
      <c r="H124" t="inlineStr"/>
      <c r="I124" t="inlineStr"/>
      <c r="J124" t="inlineStr"/>
      <c r="K124" t="inlineStr"/>
      <c r="L124" t="inlineStr"/>
      <c r="M124" t="inlineStr"/>
      <c r="N124" t="inlineStr"/>
      <c r="O124" t="inlineStr"/>
      <c r="P124" t="inlineStr"/>
      <c r="Q124" t="inlineStr"/>
      <c r="R124" t="inlineStr"/>
      <c r="S124" t="inlineStr"/>
      <c r="T124" t="inlineStr"/>
      <c r="U124" t="inlineStr"/>
      <c r="V124" t="inlineStr"/>
      <c r="W124" t="inlineStr"/>
      <c r="X124" t="inlineStr"/>
    </row>
    <row r="125">
      <c r="A125" t="inlineStr">
        <is>
          <t>DEP-124</t>
        </is>
      </c>
      <c r="B125" t="inlineStr"/>
      <c r="C125" t="inlineStr"/>
      <c r="D125" t="inlineStr"/>
      <c r="E125" t="inlineStr"/>
      <c r="F125" t="inlineStr"/>
      <c r="G125" t="inlineStr"/>
      <c r="H125" t="inlineStr"/>
      <c r="I125" t="inlineStr"/>
      <c r="J125" t="inlineStr"/>
      <c r="K125" t="inlineStr"/>
      <c r="L125" t="inlineStr"/>
      <c r="M125" t="inlineStr"/>
      <c r="N125" t="inlineStr"/>
      <c r="O125" t="inlineStr"/>
      <c r="P125" t="inlineStr"/>
      <c r="Q125" t="inlineStr"/>
      <c r="R125" t="inlineStr"/>
      <c r="S125" t="inlineStr"/>
      <c r="T125" t="inlineStr"/>
      <c r="U125" t="inlineStr"/>
      <c r="V125" t="inlineStr"/>
      <c r="W125" t="inlineStr"/>
      <c r="X125" t="inlineStr"/>
    </row>
    <row r="126">
      <c r="A126" t="inlineStr">
        <is>
          <t>DEP-125</t>
        </is>
      </c>
      <c r="B126" t="inlineStr"/>
      <c r="C126" t="inlineStr"/>
      <c r="D126" t="inlineStr"/>
      <c r="E126" t="inlineStr"/>
      <c r="F126" t="inlineStr"/>
      <c r="G126" t="inlineStr"/>
      <c r="H126" t="inlineStr"/>
      <c r="I126" t="inlineStr"/>
      <c r="J126" t="inlineStr"/>
      <c r="K126" t="inlineStr"/>
      <c r="L126" t="inlineStr"/>
      <c r="M126" t="inlineStr"/>
      <c r="N126" t="inlineStr"/>
      <c r="O126" t="inlineStr"/>
      <c r="P126" t="inlineStr"/>
      <c r="Q126" t="inlineStr"/>
      <c r="R126" t="inlineStr"/>
      <c r="S126" t="inlineStr"/>
      <c r="T126" t="inlineStr"/>
      <c r="U126" t="inlineStr"/>
      <c r="V126" t="inlineStr"/>
      <c r="W126" t="inlineStr"/>
      <c r="X126" t="inlineStr"/>
    </row>
    <row r="127">
      <c r="A127" t="inlineStr">
        <is>
          <t>DEP-126</t>
        </is>
      </c>
      <c r="B127" t="inlineStr"/>
      <c r="C127" t="inlineStr"/>
      <c r="D127" t="inlineStr"/>
      <c r="E127" t="inlineStr"/>
      <c r="F127" t="inlineStr"/>
      <c r="G127" t="inlineStr"/>
      <c r="H127" t="inlineStr"/>
      <c r="I127" t="inlineStr"/>
      <c r="J127" t="inlineStr"/>
      <c r="K127" t="inlineStr"/>
      <c r="L127" t="inlineStr"/>
      <c r="M127" t="inlineStr"/>
      <c r="N127" t="inlineStr"/>
      <c r="O127" t="inlineStr"/>
      <c r="P127" t="inlineStr"/>
      <c r="Q127" t="inlineStr"/>
      <c r="R127" t="inlineStr"/>
      <c r="S127" t="inlineStr"/>
      <c r="T127" t="inlineStr"/>
      <c r="U127" t="inlineStr"/>
      <c r="V127" t="inlineStr"/>
      <c r="W127" t="inlineStr"/>
      <c r="X127" t="inlineStr"/>
    </row>
    <row r="128">
      <c r="A128" t="inlineStr">
        <is>
          <t>DEP-127</t>
        </is>
      </c>
      <c r="B128" t="inlineStr"/>
      <c r="C128" t="inlineStr"/>
      <c r="D128" t="inlineStr"/>
      <c r="E128" t="inlineStr"/>
      <c r="F128" t="inlineStr"/>
      <c r="G128" t="inlineStr"/>
      <c r="H128" t="inlineStr"/>
      <c r="I128" t="inlineStr"/>
      <c r="J128" t="inlineStr"/>
      <c r="K128" t="inlineStr"/>
      <c r="L128" t="inlineStr"/>
      <c r="M128" t="inlineStr"/>
      <c r="N128" t="inlineStr"/>
      <c r="O128" t="inlineStr"/>
      <c r="P128" t="inlineStr"/>
      <c r="Q128" t="inlineStr"/>
      <c r="R128" t="inlineStr"/>
      <c r="S128" t="inlineStr"/>
      <c r="T128" t="inlineStr"/>
      <c r="U128" t="inlineStr"/>
      <c r="V128" t="inlineStr"/>
      <c r="W128" t="inlineStr"/>
      <c r="X128" t="inlineStr"/>
    </row>
    <row r="129">
      <c r="A129" t="inlineStr">
        <is>
          <t>DEP-128</t>
        </is>
      </c>
      <c r="B129" t="inlineStr"/>
      <c r="C129" t="inlineStr"/>
      <c r="D129" t="inlineStr"/>
      <c r="E129" t="inlineStr"/>
      <c r="F129" t="inlineStr"/>
      <c r="G129" t="inlineStr"/>
      <c r="H129" t="inlineStr"/>
      <c r="I129" t="inlineStr"/>
      <c r="J129" t="inlineStr"/>
      <c r="K129" t="inlineStr"/>
      <c r="L129" t="inlineStr"/>
      <c r="M129" t="inlineStr"/>
      <c r="N129" t="inlineStr"/>
      <c r="O129" t="inlineStr"/>
      <c r="P129" t="inlineStr"/>
      <c r="Q129" t="inlineStr"/>
      <c r="R129" t="inlineStr"/>
      <c r="S129" t="inlineStr"/>
      <c r="T129" t="inlineStr"/>
      <c r="U129" t="inlineStr"/>
      <c r="V129" t="inlineStr"/>
      <c r="W129" t="inlineStr"/>
      <c r="X129" t="inlineStr"/>
    </row>
    <row r="130">
      <c r="A130" t="inlineStr">
        <is>
          <t>DEP-129</t>
        </is>
      </c>
      <c r="B130" t="inlineStr"/>
      <c r="C130" t="inlineStr"/>
      <c r="D130" t="inlineStr"/>
      <c r="E130" t="inlineStr"/>
      <c r="F130" t="inlineStr"/>
      <c r="G130" t="inlineStr"/>
      <c r="H130" t="inlineStr"/>
      <c r="I130" t="inlineStr"/>
      <c r="J130" t="inlineStr"/>
      <c r="K130" t="inlineStr"/>
      <c r="L130" t="inlineStr"/>
      <c r="M130" t="inlineStr"/>
      <c r="N130" t="inlineStr"/>
      <c r="O130" t="inlineStr"/>
      <c r="P130" t="inlineStr"/>
      <c r="Q130" t="inlineStr"/>
      <c r="R130" t="inlineStr"/>
      <c r="S130" t="inlineStr"/>
      <c r="T130" t="inlineStr"/>
      <c r="U130" t="inlineStr"/>
      <c r="V130" t="inlineStr"/>
      <c r="W130" t="inlineStr"/>
      <c r="X130" t="inlineStr"/>
    </row>
    <row r="131">
      <c r="A131" t="inlineStr">
        <is>
          <t>DEP-130</t>
        </is>
      </c>
      <c r="B131" t="inlineStr"/>
      <c r="C131" t="inlineStr"/>
      <c r="D131" t="inlineStr"/>
      <c r="E131" t="inlineStr"/>
      <c r="F131" t="inlineStr"/>
      <c r="G131" t="inlineStr"/>
      <c r="H131" t="inlineStr"/>
      <c r="I131" t="inlineStr"/>
      <c r="J131" t="inlineStr"/>
      <c r="K131" t="inlineStr"/>
      <c r="L131" t="inlineStr"/>
      <c r="M131" t="inlineStr"/>
      <c r="N131" t="inlineStr"/>
      <c r="O131" t="inlineStr"/>
      <c r="P131" t="inlineStr"/>
      <c r="Q131" t="inlineStr"/>
      <c r="R131" t="inlineStr"/>
      <c r="S131" t="inlineStr"/>
      <c r="T131" t="inlineStr"/>
      <c r="U131" t="inlineStr"/>
      <c r="V131" t="inlineStr"/>
      <c r="W131" t="inlineStr"/>
      <c r="X131" t="inlineStr"/>
    </row>
    <row r="132">
      <c r="A132" t="inlineStr">
        <is>
          <t>DEP-131</t>
        </is>
      </c>
      <c r="B132" t="inlineStr"/>
      <c r="C132" t="inlineStr"/>
      <c r="D132" t="inlineStr"/>
      <c r="E132" t="inlineStr"/>
      <c r="F132" t="inlineStr"/>
      <c r="G132" t="inlineStr"/>
      <c r="H132" t="inlineStr"/>
      <c r="I132" t="inlineStr"/>
      <c r="J132" t="inlineStr"/>
      <c r="K132" t="inlineStr"/>
      <c r="L132" t="inlineStr"/>
      <c r="M132" t="inlineStr"/>
      <c r="N132" t="inlineStr"/>
      <c r="O132" t="inlineStr"/>
      <c r="P132" t="inlineStr"/>
      <c r="Q132" t="inlineStr"/>
      <c r="R132" t="inlineStr"/>
      <c r="S132" t="inlineStr"/>
      <c r="T132" t="inlineStr"/>
      <c r="U132" t="inlineStr"/>
      <c r="V132" t="inlineStr"/>
      <c r="W132" t="inlineStr"/>
      <c r="X132" t="inlineStr"/>
    </row>
    <row r="133">
      <c r="A133" t="inlineStr">
        <is>
          <t>DEP-132</t>
        </is>
      </c>
      <c r="B133" t="inlineStr"/>
      <c r="C133" t="inlineStr"/>
      <c r="D133" t="inlineStr"/>
      <c r="E133" t="inlineStr"/>
      <c r="F133" t="inlineStr"/>
      <c r="G133" t="inlineStr"/>
      <c r="H133" t="inlineStr"/>
      <c r="I133" t="inlineStr"/>
      <c r="J133" t="inlineStr"/>
      <c r="K133" t="inlineStr"/>
      <c r="L133" t="inlineStr"/>
      <c r="M133" t="inlineStr"/>
      <c r="N133" t="inlineStr"/>
      <c r="O133" t="inlineStr"/>
      <c r="P133" t="inlineStr"/>
      <c r="Q133" t="inlineStr"/>
      <c r="R133" t="inlineStr"/>
      <c r="S133" t="inlineStr"/>
      <c r="T133" t="inlineStr"/>
      <c r="U133" t="inlineStr"/>
      <c r="V133" t="inlineStr"/>
      <c r="W133" t="inlineStr"/>
      <c r="X133" t="inlineStr"/>
    </row>
    <row r="134">
      <c r="A134" t="inlineStr">
        <is>
          <t>DEP-133</t>
        </is>
      </c>
      <c r="B134" t="inlineStr"/>
      <c r="C134" t="inlineStr"/>
      <c r="D134" t="inlineStr"/>
      <c r="E134" t="inlineStr"/>
      <c r="F134" t="inlineStr"/>
      <c r="G134" t="inlineStr"/>
      <c r="H134" t="inlineStr"/>
      <c r="I134" t="inlineStr"/>
      <c r="J134" t="inlineStr"/>
      <c r="K134" t="inlineStr"/>
      <c r="L134" t="inlineStr"/>
      <c r="M134" t="inlineStr"/>
      <c r="N134" t="inlineStr"/>
      <c r="O134" t="inlineStr"/>
      <c r="P134" t="inlineStr"/>
      <c r="Q134" t="inlineStr"/>
      <c r="R134" t="inlineStr"/>
      <c r="S134" t="inlineStr"/>
      <c r="T134" t="inlineStr"/>
      <c r="U134" t="inlineStr"/>
      <c r="V134" t="inlineStr"/>
      <c r="W134" t="inlineStr"/>
      <c r="X134" t="inlineStr"/>
    </row>
    <row r="135">
      <c r="A135" t="inlineStr">
        <is>
          <t>DEP-134</t>
        </is>
      </c>
      <c r="B135" t="inlineStr"/>
      <c r="C135" t="inlineStr"/>
      <c r="D135" t="inlineStr"/>
      <c r="E135" t="inlineStr"/>
      <c r="F135" t="inlineStr"/>
      <c r="G135" t="inlineStr"/>
      <c r="H135" t="inlineStr"/>
      <c r="I135" t="inlineStr"/>
      <c r="J135" t="inlineStr"/>
      <c r="K135" t="inlineStr"/>
      <c r="L135" t="inlineStr"/>
      <c r="M135" t="inlineStr"/>
      <c r="N135" t="inlineStr"/>
      <c r="O135" t="inlineStr"/>
      <c r="P135" t="inlineStr"/>
      <c r="Q135" t="inlineStr"/>
      <c r="R135" t="inlineStr"/>
      <c r="S135" t="inlineStr"/>
      <c r="T135" t="inlineStr"/>
      <c r="U135" t="inlineStr"/>
      <c r="V135" t="inlineStr"/>
      <c r="W135" t="inlineStr"/>
      <c r="X135" t="inlineStr"/>
    </row>
    <row r="136">
      <c r="A136" t="inlineStr">
        <is>
          <t>DEP-135</t>
        </is>
      </c>
      <c r="B136" t="inlineStr"/>
      <c r="C136" t="inlineStr"/>
      <c r="D136" t="inlineStr"/>
      <c r="E136" t="inlineStr"/>
      <c r="F136" t="inlineStr"/>
      <c r="G136" t="inlineStr"/>
      <c r="H136" t="inlineStr"/>
      <c r="I136" t="inlineStr"/>
      <c r="J136" t="inlineStr"/>
      <c r="K136" t="inlineStr"/>
      <c r="L136" t="inlineStr"/>
      <c r="M136" t="inlineStr"/>
      <c r="N136" t="inlineStr"/>
      <c r="O136" t="inlineStr"/>
      <c r="P136" t="inlineStr"/>
      <c r="Q136" t="inlineStr"/>
      <c r="R136" t="inlineStr"/>
      <c r="S136" t="inlineStr"/>
      <c r="T136" t="inlineStr"/>
      <c r="U136" t="inlineStr"/>
      <c r="V136" t="inlineStr"/>
      <c r="W136" t="inlineStr"/>
      <c r="X136" t="inlineStr"/>
    </row>
    <row r="137">
      <c r="A137" t="inlineStr">
        <is>
          <t>DEP-136</t>
        </is>
      </c>
      <c r="B137" t="inlineStr"/>
      <c r="C137" t="inlineStr"/>
      <c r="D137" t="inlineStr"/>
      <c r="E137" t="inlineStr"/>
      <c r="F137" t="inlineStr"/>
      <c r="G137" t="inlineStr"/>
      <c r="H137" t="inlineStr"/>
      <c r="I137" t="inlineStr"/>
      <c r="J137" t="inlineStr"/>
      <c r="K137" t="inlineStr"/>
      <c r="L137" t="inlineStr"/>
      <c r="M137" t="inlineStr"/>
      <c r="N137" t="inlineStr"/>
      <c r="O137" t="inlineStr"/>
      <c r="P137" t="inlineStr"/>
      <c r="Q137" t="inlineStr"/>
      <c r="R137" t="inlineStr"/>
      <c r="S137" t="inlineStr"/>
      <c r="T137" t="inlineStr"/>
      <c r="U137" t="inlineStr"/>
      <c r="V137" t="inlineStr"/>
      <c r="W137" t="inlineStr"/>
      <c r="X137" t="inlineStr"/>
    </row>
    <row r="138">
      <c r="A138" t="inlineStr">
        <is>
          <t>DEP-137</t>
        </is>
      </c>
      <c r="B138" t="inlineStr"/>
      <c r="C138" t="inlineStr"/>
      <c r="D138" t="inlineStr"/>
      <c r="E138" t="inlineStr"/>
      <c r="F138" t="inlineStr"/>
      <c r="G138" t="inlineStr"/>
      <c r="H138" t="inlineStr"/>
      <c r="I138" t="inlineStr"/>
      <c r="J138" t="inlineStr"/>
      <c r="K138" t="inlineStr"/>
      <c r="L138" t="inlineStr"/>
      <c r="M138" t="inlineStr"/>
      <c r="N138" t="inlineStr"/>
      <c r="O138" t="inlineStr"/>
      <c r="P138" t="inlineStr"/>
      <c r="Q138" t="inlineStr"/>
      <c r="R138" t="inlineStr"/>
      <c r="S138" t="inlineStr"/>
      <c r="T138" t="inlineStr"/>
      <c r="U138" t="inlineStr"/>
      <c r="V138" t="inlineStr"/>
      <c r="W138" t="inlineStr"/>
      <c r="X138" t="inlineStr"/>
    </row>
    <row r="139">
      <c r="A139" t="inlineStr">
        <is>
          <t>DEP-138</t>
        </is>
      </c>
      <c r="B139" t="inlineStr"/>
      <c r="C139" t="inlineStr"/>
      <c r="D139" t="inlineStr"/>
      <c r="E139" t="inlineStr"/>
      <c r="F139" t="inlineStr"/>
      <c r="G139" t="inlineStr"/>
      <c r="H139" t="inlineStr"/>
      <c r="I139" t="inlineStr"/>
      <c r="J139" t="inlineStr"/>
      <c r="K139" t="inlineStr"/>
      <c r="L139" t="inlineStr"/>
      <c r="M139" t="inlineStr"/>
      <c r="N139" t="inlineStr"/>
      <c r="O139" t="inlineStr"/>
      <c r="P139" t="inlineStr"/>
      <c r="Q139" t="inlineStr"/>
      <c r="R139" t="inlineStr"/>
      <c r="S139" t="inlineStr"/>
      <c r="T139" t="inlineStr"/>
      <c r="U139" t="inlineStr"/>
      <c r="V139" t="inlineStr"/>
      <c r="W139" t="inlineStr"/>
      <c r="X139" t="inlineStr"/>
    </row>
    <row r="140">
      <c r="A140" t="inlineStr">
        <is>
          <t>DEP-139</t>
        </is>
      </c>
      <c r="B140" t="inlineStr"/>
      <c r="C140" t="inlineStr"/>
      <c r="D140" t="inlineStr"/>
      <c r="E140" t="inlineStr"/>
      <c r="F140" t="inlineStr"/>
      <c r="G140" t="inlineStr"/>
      <c r="H140" t="inlineStr"/>
      <c r="I140" t="inlineStr"/>
      <c r="J140" t="inlineStr"/>
      <c r="K140" t="inlineStr"/>
      <c r="L140" t="inlineStr"/>
      <c r="M140" t="inlineStr"/>
      <c r="N140" t="inlineStr"/>
      <c r="O140" t="inlineStr"/>
      <c r="P140" t="inlineStr"/>
      <c r="Q140" t="inlineStr"/>
      <c r="R140" t="inlineStr"/>
      <c r="S140" t="inlineStr"/>
      <c r="T140" t="inlineStr"/>
      <c r="U140" t="inlineStr"/>
      <c r="V140" t="inlineStr"/>
      <c r="W140" t="inlineStr"/>
      <c r="X140" t="inlineStr"/>
    </row>
    <row r="141">
      <c r="A141" t="inlineStr">
        <is>
          <t>DEP-140</t>
        </is>
      </c>
      <c r="B141" t="inlineStr"/>
      <c r="C141" t="inlineStr"/>
      <c r="D141" t="inlineStr"/>
      <c r="E141" t="inlineStr"/>
      <c r="F141" t="inlineStr"/>
      <c r="G141" t="inlineStr"/>
      <c r="H141" t="inlineStr"/>
      <c r="I141" t="inlineStr"/>
      <c r="J141" t="inlineStr"/>
      <c r="K141" t="inlineStr"/>
      <c r="L141" t="inlineStr"/>
      <c r="M141" t="inlineStr"/>
      <c r="N141" t="inlineStr"/>
      <c r="O141" t="inlineStr"/>
      <c r="P141" t="inlineStr"/>
      <c r="Q141" t="inlineStr"/>
      <c r="R141" t="inlineStr"/>
      <c r="S141" t="inlineStr"/>
      <c r="T141" t="inlineStr"/>
      <c r="U141" t="inlineStr"/>
      <c r="V141" t="inlineStr"/>
      <c r="W141" t="inlineStr"/>
      <c r="X141" t="inlineStr"/>
    </row>
    <row r="142">
      <c r="A142" t="inlineStr">
        <is>
          <t>DEP-141</t>
        </is>
      </c>
      <c r="B142" t="inlineStr"/>
      <c r="C142" t="inlineStr"/>
      <c r="D142" t="inlineStr"/>
      <c r="E142" t="inlineStr"/>
      <c r="F142" t="inlineStr"/>
      <c r="G142" t="inlineStr"/>
      <c r="H142" t="inlineStr"/>
      <c r="I142" t="inlineStr"/>
      <c r="J142" t="inlineStr"/>
      <c r="K142" t="inlineStr"/>
      <c r="L142" t="inlineStr"/>
      <c r="M142" t="inlineStr"/>
      <c r="N142" t="inlineStr"/>
      <c r="O142" t="inlineStr"/>
      <c r="P142" t="inlineStr"/>
      <c r="Q142" t="inlineStr"/>
      <c r="R142" t="inlineStr"/>
      <c r="S142" t="inlineStr"/>
      <c r="T142" t="inlineStr"/>
      <c r="U142" t="inlineStr"/>
      <c r="V142" t="inlineStr"/>
      <c r="W142" t="inlineStr"/>
      <c r="X142" t="inlineStr"/>
    </row>
    <row r="143">
      <c r="A143" t="inlineStr">
        <is>
          <t>DEP-142</t>
        </is>
      </c>
      <c r="B143" t="inlineStr"/>
      <c r="C143" t="inlineStr"/>
      <c r="D143" t="inlineStr"/>
      <c r="E143" t="inlineStr"/>
      <c r="F143" t="inlineStr"/>
      <c r="G143" t="inlineStr"/>
      <c r="H143" t="inlineStr"/>
      <c r="I143" t="inlineStr"/>
      <c r="J143" t="inlineStr"/>
      <c r="K143" t="inlineStr"/>
      <c r="L143" t="inlineStr"/>
      <c r="M143" t="inlineStr"/>
      <c r="N143" t="inlineStr"/>
      <c r="O143" t="inlineStr"/>
      <c r="P143" t="inlineStr"/>
      <c r="Q143" t="inlineStr"/>
      <c r="R143" t="inlineStr"/>
      <c r="S143" t="inlineStr"/>
      <c r="T143" t="inlineStr"/>
      <c r="U143" t="inlineStr"/>
      <c r="V143" t="inlineStr"/>
      <c r="W143" t="inlineStr"/>
      <c r="X143" t="inlineStr"/>
    </row>
    <row r="144">
      <c r="A144" t="inlineStr">
        <is>
          <t>DEP-143</t>
        </is>
      </c>
      <c r="B144" t="inlineStr"/>
      <c r="C144" t="inlineStr"/>
      <c r="D144" t="inlineStr"/>
      <c r="E144" t="inlineStr"/>
      <c r="F144" t="inlineStr"/>
      <c r="G144" t="inlineStr"/>
      <c r="H144" t="inlineStr"/>
      <c r="I144" t="inlineStr"/>
      <c r="J144" t="inlineStr"/>
      <c r="K144" t="inlineStr"/>
      <c r="L144" t="inlineStr"/>
      <c r="M144" t="inlineStr"/>
      <c r="N144" t="inlineStr"/>
      <c r="O144" t="inlineStr"/>
      <c r="P144" t="inlineStr"/>
      <c r="Q144" t="inlineStr"/>
      <c r="R144" t="inlineStr"/>
      <c r="S144" t="inlineStr"/>
      <c r="T144" t="inlineStr"/>
      <c r="U144" t="inlineStr"/>
      <c r="V144" t="inlineStr"/>
      <c r="W144" t="inlineStr"/>
      <c r="X144" t="inlineStr"/>
    </row>
    <row r="145">
      <c r="A145" t="inlineStr">
        <is>
          <t>DEP-144</t>
        </is>
      </c>
      <c r="B145" t="inlineStr"/>
      <c r="C145" t="inlineStr"/>
      <c r="D145" t="inlineStr"/>
      <c r="E145" t="inlineStr"/>
      <c r="F145" t="inlineStr"/>
      <c r="G145" t="inlineStr"/>
      <c r="H145" t="inlineStr"/>
      <c r="I145" t="inlineStr"/>
      <c r="J145" t="inlineStr"/>
      <c r="K145" t="inlineStr"/>
      <c r="L145" t="inlineStr"/>
      <c r="M145" t="inlineStr"/>
      <c r="N145" t="inlineStr"/>
      <c r="O145" t="inlineStr"/>
      <c r="P145" t="inlineStr"/>
      <c r="Q145" t="inlineStr"/>
      <c r="R145" t="inlineStr"/>
      <c r="S145" t="inlineStr"/>
      <c r="T145" t="inlineStr"/>
      <c r="U145" t="inlineStr"/>
      <c r="V145" t="inlineStr"/>
      <c r="W145" t="inlineStr"/>
      <c r="X145" t="inlineStr"/>
    </row>
    <row r="146">
      <c r="A146" t="inlineStr">
        <is>
          <t>DEP-145</t>
        </is>
      </c>
      <c r="B146" t="inlineStr"/>
      <c r="C146" t="inlineStr"/>
      <c r="D146" t="inlineStr"/>
      <c r="E146" t="inlineStr"/>
      <c r="F146" t="inlineStr"/>
      <c r="G146" t="inlineStr"/>
      <c r="H146" t="inlineStr"/>
      <c r="I146" t="inlineStr"/>
      <c r="J146" t="inlineStr"/>
      <c r="K146" t="inlineStr"/>
      <c r="L146" t="inlineStr"/>
      <c r="M146" t="inlineStr"/>
      <c r="N146" t="inlineStr"/>
      <c r="O146" t="inlineStr"/>
      <c r="P146" t="inlineStr"/>
      <c r="Q146" t="inlineStr"/>
      <c r="R146" t="inlineStr"/>
      <c r="S146" t="inlineStr"/>
      <c r="T146" t="inlineStr"/>
      <c r="U146" t="inlineStr"/>
      <c r="V146" t="inlineStr"/>
      <c r="W146" t="inlineStr"/>
      <c r="X146" t="inlineStr"/>
    </row>
    <row r="147">
      <c r="A147" t="inlineStr">
        <is>
          <t>DEP-146</t>
        </is>
      </c>
      <c r="B147" t="inlineStr"/>
      <c r="C147" t="inlineStr"/>
      <c r="D147" t="inlineStr"/>
      <c r="E147" t="inlineStr"/>
      <c r="F147" t="inlineStr"/>
      <c r="G147" t="inlineStr"/>
      <c r="H147" t="inlineStr"/>
      <c r="I147" t="inlineStr"/>
      <c r="J147" t="inlineStr"/>
      <c r="K147" t="inlineStr"/>
      <c r="L147" t="inlineStr"/>
      <c r="M147" t="inlineStr"/>
      <c r="N147" t="inlineStr"/>
      <c r="O147" t="inlineStr"/>
      <c r="P147" t="inlineStr"/>
      <c r="Q147" t="inlineStr"/>
      <c r="R147" t="inlineStr"/>
      <c r="S147" t="inlineStr"/>
      <c r="T147" t="inlineStr"/>
      <c r="U147" t="inlineStr"/>
      <c r="V147" t="inlineStr"/>
      <c r="W147" t="inlineStr"/>
      <c r="X147" t="inlineStr"/>
    </row>
    <row r="148">
      <c r="A148" t="inlineStr">
        <is>
          <t>DEP-147</t>
        </is>
      </c>
      <c r="B148" t="inlineStr"/>
      <c r="C148" t="inlineStr"/>
      <c r="D148" t="inlineStr"/>
      <c r="E148" t="inlineStr"/>
      <c r="F148" t="inlineStr"/>
      <c r="G148" t="inlineStr"/>
      <c r="H148" t="inlineStr"/>
      <c r="I148" t="inlineStr"/>
      <c r="J148" t="inlineStr"/>
      <c r="K148" t="inlineStr"/>
      <c r="L148" t="inlineStr"/>
      <c r="M148" t="inlineStr"/>
      <c r="N148" t="inlineStr"/>
      <c r="O148" t="inlineStr"/>
      <c r="P148" t="inlineStr"/>
      <c r="Q148" t="inlineStr"/>
      <c r="R148" t="inlineStr"/>
      <c r="S148" t="inlineStr"/>
      <c r="T148" t="inlineStr"/>
      <c r="U148" t="inlineStr"/>
      <c r="V148" t="inlineStr"/>
      <c r="W148" t="inlineStr"/>
      <c r="X148" t="inlineStr"/>
    </row>
    <row r="149">
      <c r="A149" t="inlineStr">
        <is>
          <t>DEP-148</t>
        </is>
      </c>
      <c r="B149" t="inlineStr"/>
      <c r="C149" t="inlineStr"/>
      <c r="D149" t="inlineStr"/>
      <c r="E149" t="inlineStr"/>
      <c r="F149" t="inlineStr"/>
      <c r="G149" t="inlineStr"/>
      <c r="H149" t="inlineStr"/>
      <c r="I149" t="inlineStr"/>
      <c r="J149" t="inlineStr"/>
      <c r="K149" t="inlineStr"/>
      <c r="L149" t="inlineStr"/>
      <c r="M149" t="inlineStr"/>
      <c r="N149" t="inlineStr"/>
      <c r="O149" t="inlineStr"/>
      <c r="P149" t="inlineStr"/>
      <c r="Q149" t="inlineStr"/>
      <c r="R149" t="inlineStr"/>
      <c r="S149" t="inlineStr"/>
      <c r="T149" t="inlineStr"/>
      <c r="U149" t="inlineStr"/>
      <c r="V149" t="inlineStr"/>
      <c r="W149" t="inlineStr"/>
      <c r="X149" t="inlineStr"/>
    </row>
    <row r="150">
      <c r="A150" t="inlineStr">
        <is>
          <t>DEP-149</t>
        </is>
      </c>
      <c r="B150" t="inlineStr"/>
      <c r="C150" t="inlineStr"/>
      <c r="D150" t="inlineStr"/>
      <c r="E150" t="inlineStr"/>
      <c r="F150" t="inlineStr"/>
      <c r="G150" t="inlineStr"/>
      <c r="H150" t="inlineStr"/>
      <c r="I150" t="inlineStr"/>
      <c r="J150" t="inlineStr"/>
      <c r="K150" t="inlineStr"/>
      <c r="L150" t="inlineStr"/>
      <c r="M150" t="inlineStr"/>
      <c r="N150" t="inlineStr"/>
      <c r="O150" t="inlineStr"/>
      <c r="P150" t="inlineStr"/>
      <c r="Q150" t="inlineStr"/>
      <c r="R150" t="inlineStr"/>
      <c r="S150" t="inlineStr"/>
      <c r="T150" t="inlineStr"/>
      <c r="U150" t="inlineStr"/>
      <c r="V150" t="inlineStr"/>
      <c r="W150" t="inlineStr"/>
      <c r="X150" t="inlineStr"/>
    </row>
    <row r="151">
      <c r="A151" t="inlineStr">
        <is>
          <t>DEP-150</t>
        </is>
      </c>
      <c r="B151" t="inlineStr"/>
      <c r="C151" t="inlineStr"/>
      <c r="D151" t="inlineStr"/>
      <c r="E151" t="inlineStr"/>
      <c r="F151" t="inlineStr"/>
      <c r="G151" t="inlineStr"/>
      <c r="H151" t="inlineStr"/>
      <c r="I151" t="inlineStr"/>
      <c r="J151" t="inlineStr"/>
      <c r="K151" t="inlineStr"/>
      <c r="L151" t="inlineStr"/>
      <c r="M151" t="inlineStr"/>
      <c r="N151" t="inlineStr"/>
      <c r="O151" t="inlineStr"/>
      <c r="P151" t="inlineStr"/>
      <c r="Q151" t="inlineStr"/>
      <c r="R151" t="inlineStr"/>
      <c r="S151" t="inlineStr"/>
      <c r="T151" t="inlineStr"/>
      <c r="U151" t="inlineStr"/>
      <c r="V151" t="inlineStr"/>
      <c r="W151" t="inlineStr"/>
      <c r="X151" t="inlineStr"/>
    </row>
    <row r="152">
      <c r="A152" t="inlineStr">
        <is>
          <t>DEP-151</t>
        </is>
      </c>
      <c r="B152" t="inlineStr"/>
      <c r="C152" t="inlineStr"/>
      <c r="D152" t="inlineStr"/>
      <c r="E152" t="inlineStr"/>
      <c r="F152" t="inlineStr"/>
      <c r="G152" t="inlineStr"/>
      <c r="H152" t="inlineStr"/>
      <c r="I152" t="inlineStr"/>
      <c r="J152" t="inlineStr"/>
      <c r="K152" t="inlineStr"/>
      <c r="L152" t="inlineStr"/>
      <c r="M152" t="inlineStr"/>
      <c r="N152" t="inlineStr"/>
      <c r="O152" t="inlineStr"/>
      <c r="P152" t="inlineStr"/>
      <c r="Q152" t="inlineStr"/>
      <c r="R152" t="inlineStr"/>
      <c r="S152" t="inlineStr"/>
      <c r="T152" t="inlineStr"/>
      <c r="U152" t="inlineStr"/>
      <c r="V152" t="inlineStr"/>
      <c r="W152" t="inlineStr"/>
      <c r="X152" t="inlineStr"/>
    </row>
    <row r="153">
      <c r="A153" t="inlineStr">
        <is>
          <t>DEP-152</t>
        </is>
      </c>
      <c r="B153" t="inlineStr"/>
      <c r="C153" t="inlineStr"/>
      <c r="D153" t="inlineStr"/>
      <c r="E153" t="inlineStr"/>
      <c r="F153" t="inlineStr"/>
      <c r="G153" t="inlineStr"/>
      <c r="H153" t="inlineStr"/>
      <c r="I153" t="inlineStr"/>
      <c r="J153" t="inlineStr"/>
      <c r="K153" t="inlineStr"/>
      <c r="L153" t="inlineStr"/>
      <c r="M153" t="inlineStr"/>
      <c r="N153" t="inlineStr"/>
      <c r="O153" t="inlineStr"/>
      <c r="P153" t="inlineStr"/>
      <c r="Q153" t="inlineStr"/>
      <c r="R153" t="inlineStr"/>
      <c r="S153" t="inlineStr"/>
      <c r="T153" t="inlineStr"/>
      <c r="U153" t="inlineStr"/>
      <c r="V153" t="inlineStr"/>
      <c r="W153" t="inlineStr"/>
      <c r="X153" t="inlineStr"/>
    </row>
    <row r="154">
      <c r="A154" t="inlineStr">
        <is>
          <t>DEP-153</t>
        </is>
      </c>
      <c r="B154" t="inlineStr"/>
      <c r="C154" t="inlineStr"/>
      <c r="D154" t="inlineStr"/>
      <c r="E154" t="inlineStr"/>
      <c r="F154" t="inlineStr"/>
      <c r="G154" t="inlineStr"/>
      <c r="H154" t="inlineStr"/>
      <c r="I154" t="inlineStr"/>
      <c r="J154" t="inlineStr"/>
      <c r="K154" t="inlineStr"/>
      <c r="L154" t="inlineStr"/>
      <c r="M154" t="inlineStr"/>
      <c r="N154" t="inlineStr"/>
      <c r="O154" t="inlineStr"/>
      <c r="P154" t="inlineStr"/>
      <c r="Q154" t="inlineStr"/>
      <c r="R154" t="inlineStr"/>
      <c r="S154" t="inlineStr"/>
      <c r="T154" t="inlineStr"/>
      <c r="U154" t="inlineStr"/>
      <c r="V154" t="inlineStr"/>
      <c r="W154" t="inlineStr"/>
      <c r="X154" t="inlineStr"/>
    </row>
    <row r="155">
      <c r="A155" t="inlineStr">
        <is>
          <t>DEP-154</t>
        </is>
      </c>
      <c r="B155" t="inlineStr"/>
      <c r="C155" t="inlineStr"/>
      <c r="D155" t="inlineStr"/>
      <c r="E155" t="inlineStr"/>
      <c r="F155" t="inlineStr"/>
      <c r="G155" t="inlineStr"/>
      <c r="H155" t="inlineStr"/>
      <c r="I155" t="inlineStr"/>
      <c r="J155" t="inlineStr"/>
      <c r="K155" t="inlineStr"/>
      <c r="L155" t="inlineStr"/>
      <c r="M155" t="inlineStr"/>
      <c r="N155" t="inlineStr"/>
      <c r="O155" t="inlineStr"/>
      <c r="P155" t="inlineStr"/>
      <c r="Q155" t="inlineStr"/>
      <c r="R155" t="inlineStr"/>
      <c r="S155" t="inlineStr"/>
      <c r="T155" t="inlineStr"/>
      <c r="U155" t="inlineStr"/>
      <c r="V155" t="inlineStr"/>
      <c r="W155" t="inlineStr"/>
      <c r="X155" t="inlineStr"/>
    </row>
    <row r="156">
      <c r="A156" t="inlineStr">
        <is>
          <t>DEP-155</t>
        </is>
      </c>
      <c r="B156" t="inlineStr"/>
      <c r="C156" t="inlineStr"/>
      <c r="D156" t="inlineStr"/>
      <c r="E156" t="inlineStr"/>
      <c r="F156" t="inlineStr"/>
      <c r="G156" t="inlineStr"/>
      <c r="H156" t="inlineStr"/>
      <c r="I156" t="inlineStr"/>
      <c r="J156" t="inlineStr"/>
      <c r="K156" t="inlineStr"/>
      <c r="L156" t="inlineStr"/>
      <c r="M156" t="inlineStr"/>
      <c r="N156" t="inlineStr"/>
      <c r="O156" t="inlineStr"/>
      <c r="P156" t="inlineStr"/>
      <c r="Q156" t="inlineStr"/>
      <c r="R156" t="inlineStr"/>
      <c r="S156" t="inlineStr"/>
      <c r="T156" t="inlineStr"/>
      <c r="U156" t="inlineStr"/>
      <c r="V156" t="inlineStr"/>
      <c r="W156" t="inlineStr"/>
      <c r="X156" t="inlineStr"/>
    </row>
    <row r="157">
      <c r="A157" t="inlineStr">
        <is>
          <t>DEP-156</t>
        </is>
      </c>
      <c r="B157" t="inlineStr"/>
      <c r="C157" t="inlineStr"/>
      <c r="D157" t="inlineStr"/>
      <c r="E157" t="inlineStr"/>
      <c r="F157" t="inlineStr"/>
      <c r="G157" t="inlineStr"/>
      <c r="H157" t="inlineStr"/>
      <c r="I157" t="inlineStr"/>
      <c r="J157" t="inlineStr"/>
      <c r="K157" t="inlineStr"/>
      <c r="L157" t="inlineStr"/>
      <c r="M157" t="inlineStr"/>
      <c r="N157" t="inlineStr"/>
      <c r="O157" t="inlineStr"/>
      <c r="P157" t="inlineStr"/>
      <c r="Q157" t="inlineStr"/>
      <c r="R157" t="inlineStr"/>
      <c r="S157" t="inlineStr"/>
      <c r="T157" t="inlineStr"/>
      <c r="U157" t="inlineStr"/>
      <c r="V157" t="inlineStr"/>
      <c r="W157" t="inlineStr"/>
      <c r="X157" t="inlineStr"/>
    </row>
    <row r="158">
      <c r="A158" t="inlineStr">
        <is>
          <t>DEP-157</t>
        </is>
      </c>
      <c r="B158" t="inlineStr"/>
      <c r="C158" t="inlineStr"/>
      <c r="D158" t="inlineStr"/>
      <c r="E158" t="inlineStr"/>
      <c r="F158" t="inlineStr"/>
      <c r="G158" t="inlineStr"/>
      <c r="H158" t="inlineStr"/>
      <c r="I158" t="inlineStr"/>
      <c r="J158" t="inlineStr"/>
      <c r="K158" t="inlineStr"/>
      <c r="L158" t="inlineStr"/>
      <c r="M158" t="inlineStr"/>
      <c r="N158" t="inlineStr"/>
      <c r="O158" t="inlineStr"/>
      <c r="P158" t="inlineStr"/>
      <c r="Q158" t="inlineStr"/>
      <c r="R158" t="inlineStr"/>
      <c r="S158" t="inlineStr"/>
      <c r="T158" t="inlineStr"/>
      <c r="U158" t="inlineStr"/>
      <c r="V158" t="inlineStr"/>
      <c r="W158" t="inlineStr"/>
      <c r="X158" t="inlineStr"/>
    </row>
    <row r="159">
      <c r="A159" t="inlineStr">
        <is>
          <t>DEP-158</t>
        </is>
      </c>
      <c r="B159" t="inlineStr"/>
      <c r="C159" t="inlineStr"/>
      <c r="D159" t="inlineStr"/>
      <c r="E159" t="inlineStr"/>
      <c r="F159" t="inlineStr"/>
      <c r="G159" t="inlineStr"/>
      <c r="H159" t="inlineStr"/>
      <c r="I159" t="inlineStr"/>
      <c r="J159" t="inlineStr"/>
      <c r="K159" t="inlineStr"/>
      <c r="L159" t="inlineStr"/>
      <c r="M159" t="inlineStr"/>
      <c r="N159" t="inlineStr"/>
      <c r="O159" t="inlineStr"/>
      <c r="P159" t="inlineStr"/>
      <c r="Q159" t="inlineStr"/>
      <c r="R159" t="inlineStr"/>
      <c r="S159" t="inlineStr"/>
      <c r="T159" t="inlineStr"/>
      <c r="U159" t="inlineStr"/>
      <c r="V159" t="inlineStr"/>
      <c r="W159" t="inlineStr"/>
      <c r="X159" t="inlineStr"/>
    </row>
    <row r="160">
      <c r="A160" t="inlineStr">
        <is>
          <t>DEP-159</t>
        </is>
      </c>
      <c r="B160" t="inlineStr"/>
      <c r="C160" t="inlineStr"/>
      <c r="D160" t="inlineStr"/>
      <c r="E160" t="inlineStr"/>
      <c r="F160" t="inlineStr"/>
      <c r="G160" t="inlineStr"/>
      <c r="H160" t="inlineStr"/>
      <c r="I160" t="inlineStr"/>
      <c r="J160" t="inlineStr"/>
      <c r="K160" t="inlineStr"/>
      <c r="L160" t="inlineStr"/>
      <c r="M160" t="inlineStr"/>
      <c r="N160" t="inlineStr"/>
      <c r="O160" t="inlineStr"/>
      <c r="P160" t="inlineStr"/>
      <c r="Q160" t="inlineStr"/>
      <c r="R160" t="inlineStr"/>
      <c r="S160" t="inlineStr"/>
      <c r="T160" t="inlineStr"/>
      <c r="U160" t="inlineStr"/>
      <c r="V160" t="inlineStr"/>
      <c r="W160" t="inlineStr"/>
      <c r="X160" t="inlineStr"/>
    </row>
    <row r="161">
      <c r="A161" t="inlineStr">
        <is>
          <t>DEP-160</t>
        </is>
      </c>
      <c r="B161" t="inlineStr"/>
      <c r="C161" t="inlineStr"/>
      <c r="D161" t="inlineStr"/>
      <c r="E161" t="inlineStr"/>
      <c r="F161" t="inlineStr"/>
      <c r="G161" t="inlineStr"/>
      <c r="H161" t="inlineStr"/>
      <c r="I161" t="inlineStr"/>
      <c r="J161" t="inlineStr"/>
      <c r="K161" t="inlineStr"/>
      <c r="L161" t="inlineStr"/>
      <c r="M161" t="inlineStr"/>
      <c r="N161" t="inlineStr"/>
      <c r="O161" t="inlineStr"/>
      <c r="P161" t="inlineStr"/>
      <c r="Q161" t="inlineStr"/>
      <c r="R161" t="inlineStr"/>
      <c r="S161" t="inlineStr"/>
      <c r="T161" t="inlineStr"/>
      <c r="U161" t="inlineStr"/>
      <c r="V161" t="inlineStr"/>
      <c r="W161" t="inlineStr"/>
      <c r="X161" t="inlineStr"/>
    </row>
    <row r="162">
      <c r="A162" t="inlineStr">
        <is>
          <t>DEP-161</t>
        </is>
      </c>
      <c r="B162" t="inlineStr"/>
      <c r="C162" t="inlineStr"/>
      <c r="D162" t="inlineStr"/>
      <c r="E162" t="inlineStr"/>
      <c r="F162" t="inlineStr"/>
      <c r="G162" t="inlineStr"/>
      <c r="H162" t="inlineStr"/>
      <c r="I162" t="inlineStr"/>
      <c r="J162" t="inlineStr"/>
      <c r="K162" t="inlineStr"/>
      <c r="L162" t="inlineStr"/>
      <c r="M162" t="inlineStr"/>
      <c r="N162" t="inlineStr"/>
      <c r="O162" t="inlineStr"/>
      <c r="P162" t="inlineStr"/>
      <c r="Q162" t="inlineStr"/>
      <c r="R162" t="inlineStr"/>
      <c r="S162" t="inlineStr"/>
      <c r="T162" t="inlineStr"/>
      <c r="U162" t="inlineStr"/>
      <c r="V162" t="inlineStr"/>
      <c r="W162" t="inlineStr"/>
      <c r="X162" t="inlineStr"/>
    </row>
    <row r="163">
      <c r="A163" t="inlineStr">
        <is>
          <t>DEP-162</t>
        </is>
      </c>
      <c r="B163" t="inlineStr"/>
      <c r="C163" t="inlineStr"/>
      <c r="D163" t="inlineStr"/>
      <c r="E163" t="inlineStr"/>
      <c r="F163" t="inlineStr"/>
      <c r="G163" t="inlineStr"/>
      <c r="H163" t="inlineStr"/>
      <c r="I163" t="inlineStr"/>
      <c r="J163" t="inlineStr"/>
      <c r="K163" t="inlineStr"/>
      <c r="L163" t="inlineStr"/>
      <c r="M163" t="inlineStr"/>
      <c r="N163" t="inlineStr"/>
      <c r="O163" t="inlineStr"/>
      <c r="P163" t="inlineStr"/>
      <c r="Q163" t="inlineStr"/>
      <c r="R163" t="inlineStr"/>
      <c r="S163" t="inlineStr"/>
      <c r="T163" t="inlineStr"/>
      <c r="U163" t="inlineStr"/>
      <c r="V163" t="inlineStr"/>
      <c r="W163" t="inlineStr"/>
      <c r="X163" t="inlineStr"/>
    </row>
    <row r="164">
      <c r="A164" t="inlineStr">
        <is>
          <t>DEP-163</t>
        </is>
      </c>
      <c r="B164" t="inlineStr"/>
      <c r="C164" t="inlineStr"/>
      <c r="D164" t="inlineStr"/>
      <c r="E164" t="inlineStr"/>
      <c r="F164" t="inlineStr"/>
      <c r="G164" t="inlineStr"/>
      <c r="H164" t="inlineStr"/>
      <c r="I164" t="inlineStr"/>
      <c r="J164" t="inlineStr"/>
      <c r="K164" t="inlineStr"/>
      <c r="L164" t="inlineStr"/>
      <c r="M164" t="inlineStr"/>
      <c r="N164" t="inlineStr"/>
      <c r="O164" t="inlineStr"/>
      <c r="P164" t="inlineStr"/>
      <c r="Q164" t="inlineStr"/>
      <c r="R164" t="inlineStr"/>
      <c r="S164" t="inlineStr"/>
      <c r="T164" t="inlineStr"/>
      <c r="U164" t="inlineStr"/>
      <c r="V164" t="inlineStr"/>
      <c r="W164" t="inlineStr"/>
      <c r="X164" t="inlineStr"/>
    </row>
    <row r="165">
      <c r="A165" t="inlineStr">
        <is>
          <t>DEP-164</t>
        </is>
      </c>
      <c r="B165" t="inlineStr"/>
      <c r="C165" t="inlineStr"/>
      <c r="D165" t="inlineStr"/>
      <c r="E165" t="inlineStr"/>
      <c r="F165" t="inlineStr"/>
      <c r="G165" t="inlineStr"/>
      <c r="H165" t="inlineStr"/>
      <c r="I165" t="inlineStr"/>
      <c r="J165" t="inlineStr"/>
      <c r="K165" t="inlineStr"/>
      <c r="L165" t="inlineStr"/>
      <c r="M165" t="inlineStr"/>
      <c r="N165" t="inlineStr"/>
      <c r="O165" t="inlineStr"/>
      <c r="P165" t="inlineStr"/>
      <c r="Q165" t="inlineStr"/>
      <c r="R165" t="inlineStr"/>
      <c r="S165" t="inlineStr"/>
      <c r="T165" t="inlineStr"/>
      <c r="U165" t="inlineStr"/>
      <c r="V165" t="inlineStr"/>
      <c r="W165" t="inlineStr"/>
      <c r="X165" t="inlineStr"/>
    </row>
    <row r="166">
      <c r="A166" t="inlineStr">
        <is>
          <t>DEP-165</t>
        </is>
      </c>
      <c r="B166" t="inlineStr"/>
      <c r="C166" t="inlineStr"/>
      <c r="D166" t="inlineStr"/>
      <c r="E166" t="inlineStr"/>
      <c r="F166" t="inlineStr"/>
      <c r="G166" t="inlineStr"/>
      <c r="H166" t="inlineStr"/>
      <c r="I166" t="inlineStr"/>
      <c r="J166" t="inlineStr"/>
      <c r="K166" t="inlineStr"/>
      <c r="L166" t="inlineStr"/>
      <c r="M166" t="inlineStr"/>
      <c r="N166" t="inlineStr"/>
      <c r="O166" t="inlineStr"/>
      <c r="P166" t="inlineStr"/>
      <c r="Q166" t="inlineStr"/>
      <c r="R166" t="inlineStr"/>
      <c r="S166" t="inlineStr"/>
      <c r="T166" t="inlineStr"/>
      <c r="U166" t="inlineStr"/>
      <c r="V166" t="inlineStr"/>
      <c r="W166" t="inlineStr"/>
      <c r="X166" t="inlineStr"/>
    </row>
    <row r="167">
      <c r="A167" t="inlineStr">
        <is>
          <t>DEP-166</t>
        </is>
      </c>
      <c r="B167" t="inlineStr"/>
      <c r="C167" t="inlineStr"/>
      <c r="D167" t="inlineStr"/>
      <c r="E167" t="inlineStr"/>
      <c r="F167" t="inlineStr"/>
      <c r="G167" t="inlineStr"/>
      <c r="H167" t="inlineStr"/>
      <c r="I167" t="inlineStr"/>
      <c r="J167" t="inlineStr"/>
      <c r="K167" t="inlineStr"/>
      <c r="L167" t="inlineStr"/>
      <c r="M167" t="inlineStr"/>
      <c r="N167" t="inlineStr"/>
      <c r="O167" t="inlineStr"/>
      <c r="P167" t="inlineStr"/>
      <c r="Q167" t="inlineStr"/>
      <c r="R167" t="inlineStr"/>
      <c r="S167" t="inlineStr"/>
      <c r="T167" t="inlineStr"/>
      <c r="U167" t="inlineStr"/>
      <c r="V167" t="inlineStr"/>
      <c r="W167" t="inlineStr"/>
      <c r="X167" t="inlineStr"/>
    </row>
    <row r="168">
      <c r="A168" t="inlineStr">
        <is>
          <t>DEP-167</t>
        </is>
      </c>
      <c r="B168" t="inlineStr"/>
      <c r="C168" t="inlineStr"/>
      <c r="D168" t="inlineStr"/>
      <c r="E168" t="inlineStr"/>
      <c r="F168" t="inlineStr"/>
      <c r="G168" t="inlineStr"/>
      <c r="H168" t="inlineStr"/>
      <c r="I168" t="inlineStr"/>
      <c r="J168" t="inlineStr"/>
      <c r="K168" t="inlineStr"/>
      <c r="L168" t="inlineStr"/>
      <c r="M168" t="inlineStr"/>
      <c r="N168" t="inlineStr"/>
      <c r="O168" t="inlineStr"/>
      <c r="P168" t="inlineStr"/>
      <c r="Q168" t="inlineStr"/>
      <c r="R168" t="inlineStr"/>
      <c r="S168" t="inlineStr"/>
      <c r="T168" t="inlineStr"/>
      <c r="U168" t="inlineStr"/>
      <c r="V168" t="inlineStr"/>
      <c r="W168" t="inlineStr"/>
      <c r="X168" t="inlineStr"/>
    </row>
    <row r="169">
      <c r="A169" t="inlineStr">
        <is>
          <t>DEP-168</t>
        </is>
      </c>
      <c r="B169" t="inlineStr"/>
      <c r="C169" t="inlineStr"/>
      <c r="D169" t="inlineStr"/>
      <c r="E169" t="inlineStr"/>
      <c r="F169" t="inlineStr"/>
      <c r="G169" t="inlineStr"/>
      <c r="H169" t="inlineStr"/>
      <c r="I169" t="inlineStr"/>
      <c r="J169" t="inlineStr"/>
      <c r="K169" t="inlineStr"/>
      <c r="L169" t="inlineStr"/>
      <c r="M169" t="inlineStr"/>
      <c r="N169" t="inlineStr"/>
      <c r="O169" t="inlineStr"/>
      <c r="P169" t="inlineStr"/>
      <c r="Q169" t="inlineStr"/>
      <c r="R169" t="inlineStr"/>
      <c r="S169" t="inlineStr"/>
      <c r="T169" t="inlineStr"/>
      <c r="U169" t="inlineStr"/>
      <c r="V169" t="inlineStr"/>
      <c r="W169" t="inlineStr"/>
      <c r="X169" t="inlineStr"/>
    </row>
    <row r="170">
      <c r="A170" t="inlineStr">
        <is>
          <t>DEP-169</t>
        </is>
      </c>
      <c r="B170" t="inlineStr"/>
      <c r="C170" t="inlineStr"/>
      <c r="D170" t="inlineStr"/>
      <c r="E170" t="inlineStr"/>
      <c r="F170" t="inlineStr"/>
      <c r="G170" t="inlineStr"/>
      <c r="H170" t="inlineStr"/>
      <c r="I170" t="inlineStr"/>
      <c r="J170" t="inlineStr"/>
      <c r="K170" t="inlineStr"/>
      <c r="L170" t="inlineStr"/>
      <c r="M170" t="inlineStr"/>
      <c r="N170" t="inlineStr"/>
      <c r="O170" t="inlineStr"/>
      <c r="P170" t="inlineStr"/>
      <c r="Q170" t="inlineStr"/>
      <c r="R170" t="inlineStr"/>
      <c r="S170" t="inlineStr"/>
      <c r="T170" t="inlineStr"/>
      <c r="U170" t="inlineStr"/>
      <c r="V170" t="inlineStr"/>
      <c r="W170" t="inlineStr"/>
      <c r="X170" t="inlineStr"/>
    </row>
    <row r="171">
      <c r="A171" t="inlineStr">
        <is>
          <t>DEP-170</t>
        </is>
      </c>
      <c r="B171" t="inlineStr"/>
      <c r="C171" t="inlineStr"/>
      <c r="D171" t="inlineStr"/>
      <c r="E171" t="inlineStr"/>
      <c r="F171" t="inlineStr"/>
      <c r="G171" t="inlineStr"/>
      <c r="H171" t="inlineStr"/>
      <c r="I171" t="inlineStr"/>
      <c r="J171" t="inlineStr"/>
      <c r="K171" t="inlineStr"/>
      <c r="L171" t="inlineStr"/>
      <c r="M171" t="inlineStr"/>
      <c r="N171" t="inlineStr"/>
      <c r="O171" t="inlineStr"/>
      <c r="P171" t="inlineStr"/>
      <c r="Q171" t="inlineStr"/>
      <c r="R171" t="inlineStr"/>
      <c r="S171" t="inlineStr"/>
      <c r="T171" t="inlineStr"/>
      <c r="U171" t="inlineStr"/>
      <c r="V171" t="inlineStr"/>
      <c r="W171" t="inlineStr"/>
      <c r="X171" t="inlineStr"/>
    </row>
    <row r="172">
      <c r="A172" t="inlineStr">
        <is>
          <t>DEP-171</t>
        </is>
      </c>
      <c r="B172" t="inlineStr"/>
      <c r="C172" t="inlineStr"/>
      <c r="D172" t="inlineStr"/>
      <c r="E172" t="inlineStr"/>
      <c r="F172" t="inlineStr"/>
      <c r="G172" t="inlineStr"/>
      <c r="H172" t="inlineStr"/>
      <c r="I172" t="inlineStr"/>
      <c r="J172" t="inlineStr"/>
      <c r="K172" t="inlineStr"/>
      <c r="L172" t="inlineStr"/>
      <c r="M172" t="inlineStr"/>
      <c r="N172" t="inlineStr"/>
      <c r="O172" t="inlineStr"/>
      <c r="P172" t="inlineStr"/>
      <c r="Q172" t="inlineStr"/>
      <c r="R172" t="inlineStr"/>
      <c r="S172" t="inlineStr"/>
      <c r="T172" t="inlineStr"/>
      <c r="U172" t="inlineStr"/>
      <c r="V172" t="inlineStr"/>
      <c r="W172" t="inlineStr"/>
      <c r="X172" t="inlineStr"/>
    </row>
    <row r="173">
      <c r="A173" t="inlineStr">
        <is>
          <t>DEP-172</t>
        </is>
      </c>
      <c r="B173" t="inlineStr"/>
      <c r="C173" t="inlineStr"/>
      <c r="D173" t="inlineStr"/>
      <c r="E173" t="inlineStr"/>
      <c r="F173" t="inlineStr"/>
      <c r="G173" t="inlineStr"/>
      <c r="H173" t="inlineStr"/>
      <c r="I173" t="inlineStr"/>
      <c r="J173" t="inlineStr"/>
      <c r="K173" t="inlineStr"/>
      <c r="L173" t="inlineStr"/>
      <c r="M173" t="inlineStr"/>
      <c r="N173" t="inlineStr"/>
      <c r="O173" t="inlineStr"/>
      <c r="P173" t="inlineStr"/>
      <c r="Q173" t="inlineStr"/>
      <c r="R173" t="inlineStr"/>
      <c r="S173" t="inlineStr"/>
      <c r="T173" t="inlineStr"/>
      <c r="U173" t="inlineStr"/>
      <c r="V173" t="inlineStr"/>
      <c r="W173" t="inlineStr"/>
      <c r="X173" t="inlineStr"/>
    </row>
    <row r="174">
      <c r="A174" t="inlineStr">
        <is>
          <t>DEP-173</t>
        </is>
      </c>
      <c r="B174" t="inlineStr"/>
      <c r="C174" t="inlineStr"/>
      <c r="D174" t="inlineStr"/>
      <c r="E174" t="inlineStr"/>
      <c r="F174" t="inlineStr"/>
      <c r="G174" t="inlineStr"/>
      <c r="H174" t="inlineStr"/>
      <c r="I174" t="inlineStr"/>
      <c r="J174" t="inlineStr"/>
      <c r="K174" t="inlineStr"/>
      <c r="L174" t="inlineStr"/>
      <c r="M174" t="inlineStr"/>
      <c r="N174" t="inlineStr"/>
      <c r="O174" t="inlineStr"/>
      <c r="P174" t="inlineStr"/>
      <c r="Q174" t="inlineStr"/>
      <c r="R174" t="inlineStr"/>
      <c r="S174" t="inlineStr"/>
      <c r="T174" t="inlineStr"/>
      <c r="U174" t="inlineStr"/>
      <c r="V174" t="inlineStr"/>
      <c r="W174" t="inlineStr"/>
      <c r="X174" t="inlineStr"/>
    </row>
    <row r="175">
      <c r="A175" t="inlineStr">
        <is>
          <t>DEP-174</t>
        </is>
      </c>
      <c r="B175" t="inlineStr"/>
      <c r="C175" t="inlineStr"/>
      <c r="D175" t="inlineStr"/>
      <c r="E175" t="inlineStr"/>
      <c r="F175" t="inlineStr"/>
      <c r="G175" t="inlineStr"/>
      <c r="H175" t="inlineStr"/>
      <c r="I175" t="inlineStr"/>
      <c r="J175" t="inlineStr"/>
      <c r="K175" t="inlineStr"/>
      <c r="L175" t="inlineStr"/>
      <c r="M175" t="inlineStr"/>
      <c r="N175" t="inlineStr"/>
      <c r="O175" t="inlineStr"/>
      <c r="P175" t="inlineStr"/>
      <c r="Q175" t="inlineStr"/>
      <c r="R175" t="inlineStr"/>
      <c r="S175" t="inlineStr"/>
      <c r="T175" t="inlineStr"/>
      <c r="U175" t="inlineStr"/>
      <c r="V175" t="inlineStr"/>
      <c r="W175" t="inlineStr"/>
      <c r="X175" t="inlineStr"/>
    </row>
    <row r="176">
      <c r="A176" t="inlineStr">
        <is>
          <t>DEP-175</t>
        </is>
      </c>
      <c r="B176" t="inlineStr"/>
      <c r="C176" t="inlineStr"/>
      <c r="D176" t="inlineStr"/>
      <c r="E176" t="inlineStr"/>
      <c r="F176" t="inlineStr"/>
      <c r="G176" t="inlineStr"/>
      <c r="H176" t="inlineStr"/>
      <c r="I176" t="inlineStr"/>
      <c r="J176" t="inlineStr"/>
      <c r="K176" t="inlineStr"/>
      <c r="L176" t="inlineStr"/>
      <c r="M176" t="inlineStr"/>
      <c r="N176" t="inlineStr"/>
      <c r="O176" t="inlineStr"/>
      <c r="P176" t="inlineStr"/>
      <c r="Q176" t="inlineStr"/>
      <c r="R176" t="inlineStr"/>
      <c r="S176" t="inlineStr"/>
      <c r="T176" t="inlineStr"/>
      <c r="U176" t="inlineStr"/>
      <c r="V176" t="inlineStr"/>
      <c r="W176" t="inlineStr"/>
      <c r="X176" t="inlineStr"/>
    </row>
    <row r="177">
      <c r="A177" t="inlineStr">
        <is>
          <t>DEP-176</t>
        </is>
      </c>
      <c r="B177" t="inlineStr"/>
      <c r="C177" t="inlineStr"/>
      <c r="D177" t="inlineStr"/>
      <c r="E177" t="inlineStr"/>
      <c r="F177" t="inlineStr"/>
      <c r="G177" t="inlineStr"/>
      <c r="H177" t="inlineStr"/>
      <c r="I177" t="inlineStr"/>
      <c r="J177" t="inlineStr"/>
      <c r="K177" t="inlineStr"/>
      <c r="L177" t="inlineStr"/>
      <c r="M177" t="inlineStr"/>
      <c r="N177" t="inlineStr"/>
      <c r="O177" t="inlineStr"/>
      <c r="P177" t="inlineStr"/>
      <c r="Q177" t="inlineStr"/>
      <c r="R177" t="inlineStr"/>
      <c r="S177" t="inlineStr"/>
      <c r="T177" t="inlineStr"/>
      <c r="U177" t="inlineStr"/>
      <c r="V177" t="inlineStr"/>
      <c r="W177" t="inlineStr"/>
      <c r="X177" t="inlineStr"/>
    </row>
    <row r="178">
      <c r="A178" t="inlineStr">
        <is>
          <t>DEP-177</t>
        </is>
      </c>
      <c r="B178" t="inlineStr"/>
      <c r="C178" t="inlineStr"/>
      <c r="D178" t="inlineStr"/>
      <c r="E178" t="inlineStr"/>
      <c r="F178" t="inlineStr"/>
      <c r="G178" t="inlineStr"/>
      <c r="H178" t="inlineStr"/>
      <c r="I178" t="inlineStr"/>
      <c r="J178" t="inlineStr"/>
      <c r="K178" t="inlineStr"/>
      <c r="L178" t="inlineStr"/>
      <c r="M178" t="inlineStr"/>
      <c r="N178" t="inlineStr"/>
      <c r="O178" t="inlineStr"/>
      <c r="P178" t="inlineStr"/>
      <c r="Q178" t="inlineStr"/>
      <c r="R178" t="inlineStr"/>
      <c r="S178" t="inlineStr"/>
      <c r="T178" t="inlineStr"/>
      <c r="U178" t="inlineStr"/>
      <c r="V178" t="inlineStr"/>
      <c r="W178" t="inlineStr"/>
      <c r="X178" t="inlineStr"/>
    </row>
    <row r="179">
      <c r="A179" t="inlineStr">
        <is>
          <t>DEP-178</t>
        </is>
      </c>
      <c r="B179" t="inlineStr"/>
      <c r="C179" t="inlineStr"/>
      <c r="D179" t="inlineStr"/>
      <c r="E179" t="inlineStr"/>
      <c r="F179" t="inlineStr"/>
      <c r="G179" t="inlineStr"/>
      <c r="H179" t="inlineStr"/>
      <c r="I179" t="inlineStr"/>
      <c r="J179" t="inlineStr"/>
      <c r="K179" t="inlineStr"/>
      <c r="L179" t="inlineStr"/>
      <c r="M179" t="inlineStr"/>
      <c r="N179" t="inlineStr"/>
      <c r="O179" t="inlineStr"/>
      <c r="P179" t="inlineStr"/>
      <c r="Q179" t="inlineStr"/>
      <c r="R179" t="inlineStr"/>
      <c r="S179" t="inlineStr"/>
      <c r="T179" t="inlineStr"/>
      <c r="U179" t="inlineStr"/>
      <c r="V179" t="inlineStr"/>
      <c r="W179" t="inlineStr"/>
      <c r="X179" t="inlineStr"/>
    </row>
    <row r="180">
      <c r="A180" t="inlineStr">
        <is>
          <t>DEP-179</t>
        </is>
      </c>
      <c r="B180" t="inlineStr"/>
      <c r="C180" t="inlineStr"/>
      <c r="D180" t="inlineStr"/>
      <c r="E180" t="inlineStr"/>
      <c r="F180" t="inlineStr"/>
      <c r="G180" t="inlineStr"/>
      <c r="H180" t="inlineStr"/>
      <c r="I180" t="inlineStr"/>
      <c r="J180" t="inlineStr"/>
      <c r="K180" t="inlineStr"/>
      <c r="L180" t="inlineStr"/>
      <c r="M180" t="inlineStr"/>
      <c r="N180" t="inlineStr"/>
      <c r="O180" t="inlineStr"/>
      <c r="P180" t="inlineStr"/>
      <c r="Q180" t="inlineStr"/>
      <c r="R180" t="inlineStr"/>
      <c r="S180" t="inlineStr"/>
      <c r="T180" t="inlineStr"/>
      <c r="U180" t="inlineStr"/>
      <c r="V180" t="inlineStr"/>
      <c r="W180" t="inlineStr"/>
      <c r="X180" t="inlineStr"/>
    </row>
    <row r="181">
      <c r="A181" t="inlineStr">
        <is>
          <t>DEP-180</t>
        </is>
      </c>
      <c r="B181" t="inlineStr"/>
      <c r="C181" t="inlineStr"/>
      <c r="D181" t="inlineStr"/>
      <c r="E181" t="inlineStr"/>
      <c r="F181" t="inlineStr"/>
      <c r="G181" t="inlineStr"/>
      <c r="H181" t="inlineStr"/>
      <c r="I181" t="inlineStr"/>
      <c r="J181" t="inlineStr"/>
      <c r="K181" t="inlineStr"/>
      <c r="L181" t="inlineStr"/>
      <c r="M181" t="inlineStr"/>
      <c r="N181" t="inlineStr"/>
      <c r="O181" t="inlineStr"/>
      <c r="P181" t="inlineStr"/>
      <c r="Q181" t="inlineStr"/>
      <c r="R181" t="inlineStr"/>
      <c r="S181" t="inlineStr"/>
      <c r="T181" t="inlineStr"/>
      <c r="U181" t="inlineStr"/>
      <c r="V181" t="inlineStr"/>
      <c r="W181" t="inlineStr"/>
      <c r="X181" t="inlineStr"/>
    </row>
    <row r="182">
      <c r="A182" t="inlineStr">
        <is>
          <t>DEP-181</t>
        </is>
      </c>
      <c r="B182" t="inlineStr"/>
      <c r="C182" t="inlineStr"/>
      <c r="D182" t="inlineStr"/>
      <c r="E182" t="inlineStr"/>
      <c r="F182" t="inlineStr"/>
      <c r="G182" t="inlineStr"/>
      <c r="H182" t="inlineStr"/>
      <c r="I182" t="inlineStr"/>
      <c r="J182" t="inlineStr"/>
      <c r="K182" t="inlineStr"/>
      <c r="L182" t="inlineStr"/>
      <c r="M182" t="inlineStr"/>
      <c r="N182" t="inlineStr"/>
      <c r="O182" t="inlineStr"/>
      <c r="P182" t="inlineStr"/>
      <c r="Q182" t="inlineStr"/>
      <c r="R182" t="inlineStr"/>
      <c r="S182" t="inlineStr"/>
      <c r="T182" t="inlineStr"/>
      <c r="U182" t="inlineStr"/>
      <c r="V182" t="inlineStr"/>
      <c r="W182" t="inlineStr"/>
      <c r="X182" t="inlineStr"/>
    </row>
    <row r="183">
      <c r="A183" t="inlineStr">
        <is>
          <t>DEP-182</t>
        </is>
      </c>
      <c r="B183" t="inlineStr"/>
      <c r="C183" t="inlineStr"/>
      <c r="D183" t="inlineStr"/>
      <c r="E183" t="inlineStr"/>
      <c r="F183" t="inlineStr"/>
      <c r="G183" t="inlineStr"/>
      <c r="H183" t="inlineStr"/>
      <c r="I183" t="inlineStr"/>
      <c r="J183" t="inlineStr"/>
      <c r="K183" t="inlineStr"/>
      <c r="L183" t="inlineStr"/>
      <c r="M183" t="inlineStr"/>
      <c r="N183" t="inlineStr"/>
      <c r="O183" t="inlineStr"/>
      <c r="P183" t="inlineStr"/>
      <c r="Q183" t="inlineStr"/>
      <c r="R183" t="inlineStr"/>
      <c r="S183" t="inlineStr"/>
      <c r="T183" t="inlineStr"/>
      <c r="U183" t="inlineStr"/>
      <c r="V183" t="inlineStr"/>
      <c r="W183" t="inlineStr"/>
      <c r="X183" t="inlineStr"/>
    </row>
    <row r="184">
      <c r="A184" t="inlineStr">
        <is>
          <t>DEP-183</t>
        </is>
      </c>
      <c r="B184" t="inlineStr"/>
      <c r="C184" t="inlineStr"/>
      <c r="D184" t="inlineStr"/>
      <c r="E184" t="inlineStr"/>
      <c r="F184" t="inlineStr"/>
      <c r="G184" t="inlineStr"/>
      <c r="H184" t="inlineStr"/>
      <c r="I184" t="inlineStr"/>
      <c r="J184" t="inlineStr"/>
      <c r="K184" t="inlineStr"/>
      <c r="L184" t="inlineStr"/>
      <c r="M184" t="inlineStr"/>
      <c r="N184" t="inlineStr"/>
      <c r="O184" t="inlineStr"/>
      <c r="P184" t="inlineStr"/>
      <c r="Q184" t="inlineStr"/>
      <c r="R184" t="inlineStr"/>
      <c r="S184" t="inlineStr"/>
      <c r="T184" t="inlineStr"/>
      <c r="U184" t="inlineStr"/>
      <c r="V184" t="inlineStr"/>
      <c r="W184" t="inlineStr"/>
      <c r="X184" t="inlineStr"/>
    </row>
    <row r="185">
      <c r="A185" t="inlineStr">
        <is>
          <t>DEP-184</t>
        </is>
      </c>
      <c r="B185" t="inlineStr"/>
      <c r="C185" t="inlineStr"/>
      <c r="D185" t="inlineStr"/>
      <c r="E185" t="inlineStr"/>
      <c r="F185" t="inlineStr"/>
      <c r="G185" t="inlineStr"/>
      <c r="H185" t="inlineStr"/>
      <c r="I185" t="inlineStr"/>
      <c r="J185" t="inlineStr"/>
      <c r="K185" t="inlineStr"/>
      <c r="L185" t="inlineStr"/>
      <c r="M185" t="inlineStr"/>
      <c r="N185" t="inlineStr"/>
      <c r="O185" t="inlineStr"/>
      <c r="P185" t="inlineStr"/>
      <c r="Q185" t="inlineStr"/>
      <c r="R185" t="inlineStr"/>
      <c r="S185" t="inlineStr"/>
      <c r="T185" t="inlineStr"/>
      <c r="U185" t="inlineStr"/>
      <c r="V185" t="inlineStr"/>
      <c r="W185" t="inlineStr"/>
      <c r="X185" t="inlineStr"/>
    </row>
    <row r="186">
      <c r="A186" t="inlineStr">
        <is>
          <t>DEP-185</t>
        </is>
      </c>
      <c r="B186" t="inlineStr"/>
      <c r="C186" t="inlineStr"/>
      <c r="D186" t="inlineStr"/>
      <c r="E186" t="inlineStr"/>
      <c r="F186" t="inlineStr"/>
      <c r="G186" t="inlineStr"/>
      <c r="H186" t="inlineStr"/>
      <c r="I186" t="inlineStr"/>
      <c r="J186" t="inlineStr"/>
      <c r="K186" t="inlineStr"/>
      <c r="L186" t="inlineStr"/>
      <c r="M186" t="inlineStr"/>
      <c r="N186" t="inlineStr"/>
      <c r="O186" t="inlineStr"/>
      <c r="P186" t="inlineStr"/>
      <c r="Q186" t="inlineStr"/>
      <c r="R186" t="inlineStr"/>
      <c r="S186" t="inlineStr"/>
      <c r="T186" t="inlineStr"/>
      <c r="U186" t="inlineStr"/>
      <c r="V186" t="inlineStr"/>
      <c r="W186" t="inlineStr"/>
      <c r="X186" t="inlineStr"/>
    </row>
    <row r="187">
      <c r="A187" t="inlineStr">
        <is>
          <t>DEP-186</t>
        </is>
      </c>
      <c r="B187" t="inlineStr"/>
      <c r="C187" t="inlineStr"/>
      <c r="D187" t="inlineStr"/>
      <c r="E187" t="inlineStr"/>
      <c r="F187" t="inlineStr"/>
      <c r="G187" t="inlineStr"/>
      <c r="H187" t="inlineStr"/>
      <c r="I187" t="inlineStr"/>
      <c r="J187" t="inlineStr"/>
      <c r="K187" t="inlineStr"/>
      <c r="L187" t="inlineStr"/>
      <c r="M187" t="inlineStr"/>
      <c r="N187" t="inlineStr"/>
      <c r="O187" t="inlineStr"/>
      <c r="P187" t="inlineStr"/>
      <c r="Q187" t="inlineStr"/>
      <c r="R187" t="inlineStr"/>
      <c r="S187" t="inlineStr"/>
      <c r="T187" t="inlineStr"/>
      <c r="U187" t="inlineStr"/>
      <c r="V187" t="inlineStr"/>
      <c r="W187" t="inlineStr"/>
      <c r="X187" t="inlineStr"/>
    </row>
    <row r="188">
      <c r="A188" t="inlineStr">
        <is>
          <t>DEP-187</t>
        </is>
      </c>
      <c r="B188" t="inlineStr"/>
      <c r="C188" t="inlineStr"/>
      <c r="D188" t="inlineStr"/>
      <c r="E188" t="inlineStr"/>
      <c r="F188" t="inlineStr"/>
      <c r="G188" t="inlineStr"/>
      <c r="H188" t="inlineStr"/>
      <c r="I188" t="inlineStr"/>
      <c r="J188" t="inlineStr"/>
      <c r="K188" t="inlineStr"/>
      <c r="L188" t="inlineStr"/>
      <c r="M188" t="inlineStr"/>
      <c r="N188" t="inlineStr"/>
      <c r="O188" t="inlineStr"/>
      <c r="P188" t="inlineStr"/>
      <c r="Q188" t="inlineStr"/>
      <c r="R188" t="inlineStr"/>
      <c r="S188" t="inlineStr"/>
      <c r="T188" t="inlineStr"/>
      <c r="U188" t="inlineStr"/>
      <c r="V188" t="inlineStr"/>
      <c r="W188" t="inlineStr"/>
      <c r="X188" t="inlineStr"/>
    </row>
    <row r="189">
      <c r="A189" t="inlineStr">
        <is>
          <t>DEP-188</t>
        </is>
      </c>
      <c r="B189" t="inlineStr"/>
      <c r="C189" t="inlineStr"/>
      <c r="D189" t="inlineStr"/>
      <c r="E189" t="inlineStr"/>
      <c r="F189" t="inlineStr"/>
      <c r="G189" t="inlineStr"/>
      <c r="H189" t="inlineStr"/>
      <c r="I189" t="inlineStr"/>
      <c r="J189" t="inlineStr"/>
      <c r="K189" t="inlineStr"/>
      <c r="L189" t="inlineStr"/>
      <c r="M189" t="inlineStr"/>
      <c r="N189" t="inlineStr"/>
      <c r="O189" t="inlineStr"/>
      <c r="P189" t="inlineStr"/>
      <c r="Q189" t="inlineStr"/>
      <c r="R189" t="inlineStr"/>
      <c r="S189" t="inlineStr"/>
      <c r="T189" t="inlineStr"/>
      <c r="U189" t="inlineStr"/>
      <c r="V189" t="inlineStr"/>
      <c r="W189" t="inlineStr"/>
      <c r="X189" t="inlineStr"/>
    </row>
    <row r="190">
      <c r="A190" t="inlineStr">
        <is>
          <t>DEP-189</t>
        </is>
      </c>
      <c r="B190" t="inlineStr"/>
      <c r="C190" t="inlineStr"/>
      <c r="D190" t="inlineStr"/>
      <c r="E190" t="inlineStr"/>
      <c r="F190" t="inlineStr"/>
      <c r="G190" t="inlineStr"/>
      <c r="H190" t="inlineStr"/>
      <c r="I190" t="inlineStr"/>
      <c r="J190" t="inlineStr"/>
      <c r="K190" t="inlineStr"/>
      <c r="L190" t="inlineStr"/>
      <c r="M190" t="inlineStr"/>
      <c r="N190" t="inlineStr"/>
      <c r="O190" t="inlineStr"/>
      <c r="P190" t="inlineStr"/>
      <c r="Q190" t="inlineStr"/>
      <c r="R190" t="inlineStr"/>
      <c r="S190" t="inlineStr"/>
      <c r="T190" t="inlineStr"/>
      <c r="U190" t="inlineStr"/>
      <c r="V190" t="inlineStr"/>
      <c r="W190" t="inlineStr"/>
      <c r="X190" t="inlineStr"/>
    </row>
    <row r="191">
      <c r="A191" t="inlineStr">
        <is>
          <t>DEP-190</t>
        </is>
      </c>
      <c r="B191" t="inlineStr"/>
      <c r="C191" t="inlineStr"/>
      <c r="D191" t="inlineStr"/>
      <c r="E191" t="inlineStr"/>
      <c r="F191" t="inlineStr"/>
      <c r="G191" t="inlineStr"/>
      <c r="H191" t="inlineStr"/>
      <c r="I191" t="inlineStr"/>
      <c r="J191" t="inlineStr"/>
      <c r="K191" t="inlineStr"/>
      <c r="L191" t="inlineStr"/>
      <c r="M191" t="inlineStr"/>
      <c r="N191" t="inlineStr"/>
      <c r="O191" t="inlineStr"/>
      <c r="P191" t="inlineStr"/>
      <c r="Q191" t="inlineStr"/>
      <c r="R191" t="inlineStr"/>
      <c r="S191" t="inlineStr"/>
      <c r="T191" t="inlineStr"/>
      <c r="U191" t="inlineStr"/>
      <c r="V191" t="inlineStr"/>
      <c r="W191" t="inlineStr"/>
      <c r="X191" t="inlineStr"/>
    </row>
    <row r="192">
      <c r="A192" t="inlineStr">
        <is>
          <t>DEP-191</t>
        </is>
      </c>
      <c r="B192" t="inlineStr"/>
      <c r="C192" t="inlineStr"/>
      <c r="D192" t="inlineStr"/>
      <c r="E192" t="inlineStr"/>
      <c r="F192" t="inlineStr"/>
      <c r="G192" t="inlineStr"/>
      <c r="H192" t="inlineStr"/>
      <c r="I192" t="inlineStr"/>
      <c r="J192" t="inlineStr"/>
      <c r="K192" t="inlineStr"/>
      <c r="L192" t="inlineStr"/>
      <c r="M192" t="inlineStr"/>
      <c r="N192" t="inlineStr"/>
      <c r="O192" t="inlineStr"/>
      <c r="P192" t="inlineStr"/>
      <c r="Q192" t="inlineStr"/>
      <c r="R192" t="inlineStr"/>
      <c r="S192" t="inlineStr"/>
      <c r="T192" t="inlineStr"/>
      <c r="U192" t="inlineStr"/>
      <c r="V192" t="inlineStr"/>
      <c r="W192" t="inlineStr"/>
      <c r="X192" t="inlineStr"/>
    </row>
    <row r="193">
      <c r="A193" t="inlineStr">
        <is>
          <t>DEP-192</t>
        </is>
      </c>
      <c r="B193" t="inlineStr"/>
      <c r="C193" t="inlineStr"/>
      <c r="D193" t="inlineStr"/>
      <c r="E193" t="inlineStr"/>
      <c r="F193" t="inlineStr"/>
      <c r="G193" t="inlineStr"/>
      <c r="H193" t="inlineStr"/>
      <c r="I193" t="inlineStr"/>
      <c r="J193" t="inlineStr"/>
      <c r="K193" t="inlineStr"/>
      <c r="L193" t="inlineStr"/>
      <c r="M193" t="inlineStr"/>
      <c r="N193" t="inlineStr"/>
      <c r="O193" t="inlineStr"/>
      <c r="P193" t="inlineStr"/>
      <c r="Q193" t="inlineStr"/>
      <c r="R193" t="inlineStr"/>
      <c r="S193" t="inlineStr"/>
      <c r="T193" t="inlineStr"/>
      <c r="U193" t="inlineStr"/>
      <c r="V193" t="inlineStr"/>
      <c r="W193" t="inlineStr"/>
      <c r="X193" t="inlineStr"/>
    </row>
    <row r="194">
      <c r="A194" t="inlineStr">
        <is>
          <t>DEP-193</t>
        </is>
      </c>
      <c r="B194" t="inlineStr"/>
      <c r="C194" t="inlineStr"/>
      <c r="D194" t="inlineStr"/>
      <c r="E194" t="inlineStr"/>
      <c r="F194" t="inlineStr"/>
      <c r="G194" t="inlineStr"/>
      <c r="H194" t="inlineStr"/>
      <c r="I194" t="inlineStr"/>
      <c r="J194" t="inlineStr"/>
      <c r="K194" t="inlineStr"/>
      <c r="L194" t="inlineStr"/>
      <c r="M194" t="inlineStr"/>
      <c r="N194" t="inlineStr"/>
      <c r="O194" t="inlineStr"/>
      <c r="P194" t="inlineStr"/>
      <c r="Q194" t="inlineStr"/>
      <c r="R194" t="inlineStr"/>
      <c r="S194" t="inlineStr"/>
      <c r="T194" t="inlineStr"/>
      <c r="U194" t="inlineStr"/>
      <c r="V194" t="inlineStr"/>
      <c r="W194" t="inlineStr"/>
      <c r="X194" t="inlineStr"/>
    </row>
    <row r="195">
      <c r="A195" t="inlineStr">
        <is>
          <t>DEP-194</t>
        </is>
      </c>
      <c r="B195" t="inlineStr"/>
      <c r="C195" t="inlineStr"/>
      <c r="D195" t="inlineStr"/>
      <c r="E195" t="inlineStr"/>
      <c r="F195" t="inlineStr"/>
      <c r="G195" t="inlineStr"/>
      <c r="H195" t="inlineStr"/>
      <c r="I195" t="inlineStr"/>
      <c r="J195" t="inlineStr"/>
      <c r="K195" t="inlineStr"/>
      <c r="L195" t="inlineStr"/>
      <c r="M195" t="inlineStr"/>
      <c r="N195" t="inlineStr"/>
      <c r="O195" t="inlineStr"/>
      <c r="P195" t="inlineStr"/>
      <c r="Q195" t="inlineStr"/>
      <c r="R195" t="inlineStr"/>
      <c r="S195" t="inlineStr"/>
      <c r="T195" t="inlineStr"/>
      <c r="U195" t="inlineStr"/>
      <c r="V195" t="inlineStr"/>
      <c r="W195" t="inlineStr"/>
      <c r="X195" t="inlineStr"/>
    </row>
    <row r="196">
      <c r="A196" t="inlineStr">
        <is>
          <t>DEP-195</t>
        </is>
      </c>
      <c r="B196" t="inlineStr"/>
      <c r="C196" t="inlineStr"/>
      <c r="D196" t="inlineStr"/>
      <c r="E196" t="inlineStr"/>
      <c r="F196" t="inlineStr"/>
      <c r="G196" t="inlineStr"/>
      <c r="H196" t="inlineStr"/>
      <c r="I196" t="inlineStr"/>
      <c r="J196" t="inlineStr"/>
      <c r="K196" t="inlineStr"/>
      <c r="L196" t="inlineStr"/>
      <c r="M196" t="inlineStr"/>
      <c r="N196" t="inlineStr"/>
      <c r="O196" t="inlineStr"/>
      <c r="P196" t="inlineStr"/>
      <c r="Q196" t="inlineStr"/>
      <c r="R196" t="inlineStr"/>
      <c r="S196" t="inlineStr"/>
      <c r="T196" t="inlineStr"/>
      <c r="U196" t="inlineStr"/>
      <c r="V196" t="inlineStr"/>
      <c r="W196" t="inlineStr"/>
      <c r="X196" t="inlineStr"/>
    </row>
    <row r="197">
      <c r="A197" t="inlineStr">
        <is>
          <t>DEP-196</t>
        </is>
      </c>
      <c r="B197" t="inlineStr"/>
      <c r="C197" t="inlineStr"/>
      <c r="D197" t="inlineStr"/>
      <c r="E197" t="inlineStr"/>
      <c r="F197" t="inlineStr"/>
      <c r="G197" t="inlineStr"/>
      <c r="H197" t="inlineStr"/>
      <c r="I197" t="inlineStr"/>
      <c r="J197" t="inlineStr"/>
      <c r="K197" t="inlineStr"/>
      <c r="L197" t="inlineStr"/>
      <c r="M197" t="inlineStr"/>
      <c r="N197" t="inlineStr"/>
      <c r="O197" t="inlineStr"/>
      <c r="P197" t="inlineStr"/>
      <c r="Q197" t="inlineStr"/>
      <c r="R197" t="inlineStr"/>
      <c r="S197" t="inlineStr"/>
      <c r="T197" t="inlineStr"/>
      <c r="U197" t="inlineStr"/>
      <c r="V197" t="inlineStr"/>
      <c r="W197" t="inlineStr"/>
      <c r="X197" t="inlineStr"/>
    </row>
    <row r="198">
      <c r="A198" t="inlineStr">
        <is>
          <t>DEP-197</t>
        </is>
      </c>
      <c r="B198" t="inlineStr"/>
      <c r="C198" t="inlineStr"/>
      <c r="D198" t="inlineStr"/>
      <c r="E198" t="inlineStr"/>
      <c r="F198" t="inlineStr"/>
      <c r="G198" t="inlineStr"/>
      <c r="H198" t="inlineStr"/>
      <c r="I198" t="inlineStr"/>
      <c r="J198" t="inlineStr"/>
      <c r="K198" t="inlineStr"/>
      <c r="L198" t="inlineStr"/>
      <c r="M198" t="inlineStr"/>
      <c r="N198" t="inlineStr"/>
      <c r="O198" t="inlineStr"/>
      <c r="P198" t="inlineStr"/>
      <c r="Q198" t="inlineStr"/>
      <c r="R198" t="inlineStr"/>
      <c r="S198" t="inlineStr"/>
      <c r="T198" t="inlineStr"/>
      <c r="U198" t="inlineStr"/>
      <c r="V198" t="inlineStr"/>
      <c r="W198" t="inlineStr"/>
      <c r="X198" t="inlineStr"/>
    </row>
    <row r="199">
      <c r="A199" t="inlineStr">
        <is>
          <t>DEP-198</t>
        </is>
      </c>
      <c r="B199" t="inlineStr"/>
      <c r="C199" t="inlineStr"/>
      <c r="D199" t="inlineStr"/>
      <c r="E199" t="inlineStr"/>
      <c r="F199" t="inlineStr"/>
      <c r="G199" t="inlineStr"/>
      <c r="H199" t="inlineStr"/>
      <c r="I199" t="inlineStr"/>
      <c r="J199" t="inlineStr"/>
      <c r="K199" t="inlineStr"/>
      <c r="L199" t="inlineStr"/>
      <c r="M199" t="inlineStr"/>
      <c r="N199" t="inlineStr"/>
      <c r="O199" t="inlineStr"/>
      <c r="P199" t="inlineStr"/>
      <c r="Q199" t="inlineStr"/>
      <c r="R199" t="inlineStr"/>
      <c r="S199" t="inlineStr"/>
      <c r="T199" t="inlineStr"/>
      <c r="U199" t="inlineStr"/>
      <c r="V199" t="inlineStr"/>
      <c r="W199" t="inlineStr"/>
      <c r="X199" t="inlineStr"/>
    </row>
    <row r="200">
      <c r="A200" t="inlineStr">
        <is>
          <t>DEP-199</t>
        </is>
      </c>
      <c r="B200" t="inlineStr"/>
      <c r="C200" t="inlineStr"/>
      <c r="D200" t="inlineStr"/>
      <c r="E200" t="inlineStr"/>
      <c r="F200" t="inlineStr"/>
      <c r="G200" t="inlineStr"/>
      <c r="H200" t="inlineStr"/>
      <c r="I200" t="inlineStr"/>
      <c r="J200" t="inlineStr"/>
      <c r="K200" t="inlineStr"/>
      <c r="L200" t="inlineStr"/>
      <c r="M200" t="inlineStr"/>
      <c r="N200" t="inlineStr"/>
      <c r="O200" t="inlineStr"/>
      <c r="P200" t="inlineStr"/>
      <c r="Q200" t="inlineStr"/>
      <c r="R200" t="inlineStr"/>
      <c r="S200" t="inlineStr"/>
      <c r="T200" t="inlineStr"/>
      <c r="U200" t="inlineStr"/>
      <c r="V200" t="inlineStr"/>
      <c r="W200" t="inlineStr"/>
      <c r="X200" t="inlineStr"/>
    </row>
    <row r="201">
      <c r="A201" t="inlineStr">
        <is>
          <t>DEP-200</t>
        </is>
      </c>
      <c r="B201" t="inlineStr"/>
      <c r="C201" t="inlineStr"/>
      <c r="D201" t="inlineStr"/>
      <c r="E201" t="inlineStr"/>
      <c r="F201" t="inlineStr"/>
      <c r="G201" t="inlineStr"/>
      <c r="H201" t="inlineStr"/>
      <c r="I201" t="inlineStr"/>
      <c r="J201" t="inlineStr"/>
      <c r="K201" t="inlineStr"/>
      <c r="L201" t="inlineStr"/>
      <c r="M201" t="inlineStr"/>
      <c r="N201" t="inlineStr"/>
      <c r="O201" t="inlineStr"/>
      <c r="P201" t="inlineStr"/>
      <c r="Q201" t="inlineStr"/>
      <c r="R201" t="inlineStr"/>
      <c r="S201" t="inlineStr"/>
      <c r="T201" t="inlineStr"/>
      <c r="U201" t="inlineStr"/>
      <c r="V201" t="inlineStr"/>
      <c r="W201" t="inlineStr"/>
      <c r="X201" t="inlineStr"/>
    </row>
  </sheetData>
  <dataValidations count="1200">
    <dataValidation sqref="B2" showDropDown="0" showInputMessage="0" showErrorMessage="0" allowBlank="1" type="list">
      <formula1>"CC,TI,CE,RC,PA,MS,AS"</formula1>
    </dataValidation>
    <dataValidation sqref="G2" showDropDown="0" showInputMessage="0" showErrorMessage="0" allowBlank="1" type="list">
      <formula1>"01,02,03,04"</formula1>
    </dataValidation>
    <dataValidation sqref="I2" showDropDown="0" showInputMessage="0" showErrorMessage="0" allowBlank="1" type="list">
      <formula1>"M,F"</formula1>
    </dataValidation>
    <dataValidation sqref="L2" showDropDown="0" showInputMessage="0" showErrorMessage="0" allowBlank="1" type="list">
      <formula1>"01,02"</formula1>
    </dataValidation>
    <dataValidation sqref="M2" showDropDown="0" showInputMessage="0" showErrorMessage="0" allowBlank="1" type="list">
      <formula1>"SI,NO"</formula1>
    </dataValidation>
    <dataValidation sqref="X2" showDropDown="0" showInputMessage="0" showErrorMessage="0" allowBlank="1" type="list">
      <formula1>"Sí,No"</formula1>
    </dataValidation>
    <dataValidation sqref="B3" showDropDown="0" showInputMessage="0" showErrorMessage="0" allowBlank="1" type="list">
      <formula1>"CC,TI,CE,RC,PA,MS,AS"</formula1>
    </dataValidation>
    <dataValidation sqref="G3" showDropDown="0" showInputMessage="0" showErrorMessage="0" allowBlank="1" type="list">
      <formula1>"01,02,03,04"</formula1>
    </dataValidation>
    <dataValidation sqref="I3" showDropDown="0" showInputMessage="0" showErrorMessage="0" allowBlank="1" type="list">
      <formula1>"M,F"</formula1>
    </dataValidation>
    <dataValidation sqref="L3" showDropDown="0" showInputMessage="0" showErrorMessage="0" allowBlank="1" type="list">
      <formula1>"01,02"</formula1>
    </dataValidation>
    <dataValidation sqref="M3" showDropDown="0" showInputMessage="0" showErrorMessage="0" allowBlank="1" type="list">
      <formula1>"SI,NO"</formula1>
    </dataValidation>
    <dataValidation sqref="X3" showDropDown="0" showInputMessage="0" showErrorMessage="0" allowBlank="1" type="list">
      <formula1>"Sí,No"</formula1>
    </dataValidation>
    <dataValidation sqref="B4" showDropDown="0" showInputMessage="0" showErrorMessage="0" allowBlank="1" type="list">
      <formula1>"CC,TI,CE,RC,PA,MS,AS"</formula1>
    </dataValidation>
    <dataValidation sqref="G4" showDropDown="0" showInputMessage="0" showErrorMessage="0" allowBlank="1" type="list">
      <formula1>"01,02,03,04"</formula1>
    </dataValidation>
    <dataValidation sqref="I4" showDropDown="0" showInputMessage="0" showErrorMessage="0" allowBlank="1" type="list">
      <formula1>"M,F"</formula1>
    </dataValidation>
    <dataValidation sqref="L4" showDropDown="0" showInputMessage="0" showErrorMessage="0" allowBlank="1" type="list">
      <formula1>"01,02"</formula1>
    </dataValidation>
    <dataValidation sqref="M4" showDropDown="0" showInputMessage="0" showErrorMessage="0" allowBlank="1" type="list">
      <formula1>"SI,NO"</formula1>
    </dataValidation>
    <dataValidation sqref="X4" showDropDown="0" showInputMessage="0" showErrorMessage="0" allowBlank="1" type="list">
      <formula1>"Sí,No"</formula1>
    </dataValidation>
    <dataValidation sqref="B5" showDropDown="0" showInputMessage="0" showErrorMessage="0" allowBlank="1" type="list">
      <formula1>"CC,TI,CE,RC,PA,MS,AS"</formula1>
    </dataValidation>
    <dataValidation sqref="G5" showDropDown="0" showInputMessage="0" showErrorMessage="0" allowBlank="1" type="list">
      <formula1>"01,02,03,04"</formula1>
    </dataValidation>
    <dataValidation sqref="I5" showDropDown="0" showInputMessage="0" showErrorMessage="0" allowBlank="1" type="list">
      <formula1>"M,F"</formula1>
    </dataValidation>
    <dataValidation sqref="L5" showDropDown="0" showInputMessage="0" showErrorMessage="0" allowBlank="1" type="list">
      <formula1>"01,02"</formula1>
    </dataValidation>
    <dataValidation sqref="M5" showDropDown="0" showInputMessage="0" showErrorMessage="0" allowBlank="1" type="list">
      <formula1>"SI,NO"</formula1>
    </dataValidation>
    <dataValidation sqref="X5" showDropDown="0" showInputMessage="0" showErrorMessage="0" allowBlank="1" type="list">
      <formula1>"Sí,No"</formula1>
    </dataValidation>
    <dataValidation sqref="B6" showDropDown="0" showInputMessage="0" showErrorMessage="0" allowBlank="1" type="list">
      <formula1>"CC,TI,CE,RC,PA,MS,AS"</formula1>
    </dataValidation>
    <dataValidation sqref="G6" showDropDown="0" showInputMessage="0" showErrorMessage="0" allowBlank="1" type="list">
      <formula1>"01,02,03,04"</formula1>
    </dataValidation>
    <dataValidation sqref="I6" showDropDown="0" showInputMessage="0" showErrorMessage="0" allowBlank="1" type="list">
      <formula1>"M,F"</formula1>
    </dataValidation>
    <dataValidation sqref="L6" showDropDown="0" showInputMessage="0" showErrorMessage="0" allowBlank="1" type="list">
      <formula1>"01,02"</formula1>
    </dataValidation>
    <dataValidation sqref="M6" showDropDown="0" showInputMessage="0" showErrorMessage="0" allowBlank="1" type="list">
      <formula1>"SI,NO"</formula1>
    </dataValidation>
    <dataValidation sqref="X6" showDropDown="0" showInputMessage="0" showErrorMessage="0" allowBlank="1" type="list">
      <formula1>"Sí,No"</formula1>
    </dataValidation>
    <dataValidation sqref="B7" showDropDown="0" showInputMessage="0" showErrorMessage="0" allowBlank="1" type="list">
      <formula1>"CC,TI,CE,RC,PA,MS,AS"</formula1>
    </dataValidation>
    <dataValidation sqref="G7" showDropDown="0" showInputMessage="0" showErrorMessage="0" allowBlank="1" type="list">
      <formula1>"01,02,03,04"</formula1>
    </dataValidation>
    <dataValidation sqref="I7" showDropDown="0" showInputMessage="0" showErrorMessage="0" allowBlank="1" type="list">
      <formula1>"M,F"</formula1>
    </dataValidation>
    <dataValidation sqref="L7" showDropDown="0" showInputMessage="0" showErrorMessage="0" allowBlank="1" type="list">
      <formula1>"01,02"</formula1>
    </dataValidation>
    <dataValidation sqref="M7" showDropDown="0" showInputMessage="0" showErrorMessage="0" allowBlank="1" type="list">
      <formula1>"SI,NO"</formula1>
    </dataValidation>
    <dataValidation sqref="X7" showDropDown="0" showInputMessage="0" showErrorMessage="0" allowBlank="1" type="list">
      <formula1>"Sí,No"</formula1>
    </dataValidation>
    <dataValidation sqref="B8" showDropDown="0" showInputMessage="0" showErrorMessage="0" allowBlank="1" type="list">
      <formula1>"CC,TI,CE,RC,PA,MS,AS"</formula1>
    </dataValidation>
    <dataValidation sqref="G8" showDropDown="0" showInputMessage="0" showErrorMessage="0" allowBlank="1" type="list">
      <formula1>"01,02,03,04"</formula1>
    </dataValidation>
    <dataValidation sqref="I8" showDropDown="0" showInputMessage="0" showErrorMessage="0" allowBlank="1" type="list">
      <formula1>"M,F"</formula1>
    </dataValidation>
    <dataValidation sqref="L8" showDropDown="0" showInputMessage="0" showErrorMessage="0" allowBlank="1" type="list">
      <formula1>"01,02"</formula1>
    </dataValidation>
    <dataValidation sqref="M8" showDropDown="0" showInputMessage="0" showErrorMessage="0" allowBlank="1" type="list">
      <formula1>"SI,NO"</formula1>
    </dataValidation>
    <dataValidation sqref="X8" showDropDown="0" showInputMessage="0" showErrorMessage="0" allowBlank="1" type="list">
      <formula1>"Sí,No"</formula1>
    </dataValidation>
    <dataValidation sqref="B9" showDropDown="0" showInputMessage="0" showErrorMessage="0" allowBlank="1" type="list">
      <formula1>"CC,TI,CE,RC,PA,MS,AS"</formula1>
    </dataValidation>
    <dataValidation sqref="G9" showDropDown="0" showInputMessage="0" showErrorMessage="0" allowBlank="1" type="list">
      <formula1>"01,02,03,04"</formula1>
    </dataValidation>
    <dataValidation sqref="I9" showDropDown="0" showInputMessage="0" showErrorMessage="0" allowBlank="1" type="list">
      <formula1>"M,F"</formula1>
    </dataValidation>
    <dataValidation sqref="L9" showDropDown="0" showInputMessage="0" showErrorMessage="0" allowBlank="1" type="list">
      <formula1>"01,02"</formula1>
    </dataValidation>
    <dataValidation sqref="M9" showDropDown="0" showInputMessage="0" showErrorMessage="0" allowBlank="1" type="list">
      <formula1>"SI,NO"</formula1>
    </dataValidation>
    <dataValidation sqref="X9" showDropDown="0" showInputMessage="0" showErrorMessage="0" allowBlank="1" type="list">
      <formula1>"Sí,No"</formula1>
    </dataValidation>
    <dataValidation sqref="B10" showDropDown="0" showInputMessage="0" showErrorMessage="0" allowBlank="1" type="list">
      <formula1>"CC,TI,CE,RC,PA,MS,AS"</formula1>
    </dataValidation>
    <dataValidation sqref="G10" showDropDown="0" showInputMessage="0" showErrorMessage="0" allowBlank="1" type="list">
      <formula1>"01,02,03,04"</formula1>
    </dataValidation>
    <dataValidation sqref="I10" showDropDown="0" showInputMessage="0" showErrorMessage="0" allowBlank="1" type="list">
      <formula1>"M,F"</formula1>
    </dataValidation>
    <dataValidation sqref="L10" showDropDown="0" showInputMessage="0" showErrorMessage="0" allowBlank="1" type="list">
      <formula1>"01,02"</formula1>
    </dataValidation>
    <dataValidation sqref="M10" showDropDown="0" showInputMessage="0" showErrorMessage="0" allowBlank="1" type="list">
      <formula1>"SI,NO"</formula1>
    </dataValidation>
    <dataValidation sqref="X10" showDropDown="0" showInputMessage="0" showErrorMessage="0" allowBlank="1" type="list">
      <formula1>"Sí,No"</formula1>
    </dataValidation>
    <dataValidation sqref="B11" showDropDown="0" showInputMessage="0" showErrorMessage="0" allowBlank="1" type="list">
      <formula1>"CC,TI,CE,RC,PA,MS,AS"</formula1>
    </dataValidation>
    <dataValidation sqref="G11" showDropDown="0" showInputMessage="0" showErrorMessage="0" allowBlank="1" type="list">
      <formula1>"01,02,03,04"</formula1>
    </dataValidation>
    <dataValidation sqref="I11" showDropDown="0" showInputMessage="0" showErrorMessage="0" allowBlank="1" type="list">
      <formula1>"M,F"</formula1>
    </dataValidation>
    <dataValidation sqref="L11" showDropDown="0" showInputMessage="0" showErrorMessage="0" allowBlank="1" type="list">
      <formula1>"01,02"</formula1>
    </dataValidation>
    <dataValidation sqref="M11" showDropDown="0" showInputMessage="0" showErrorMessage="0" allowBlank="1" type="list">
      <formula1>"SI,NO"</formula1>
    </dataValidation>
    <dataValidation sqref="X11" showDropDown="0" showInputMessage="0" showErrorMessage="0" allowBlank="1" type="list">
      <formula1>"Sí,No"</formula1>
    </dataValidation>
    <dataValidation sqref="B12" showDropDown="0" showInputMessage="0" showErrorMessage="0" allowBlank="1" type="list">
      <formula1>"CC,TI,CE,RC,PA,MS,AS"</formula1>
    </dataValidation>
    <dataValidation sqref="G12" showDropDown="0" showInputMessage="0" showErrorMessage="0" allowBlank="1" type="list">
      <formula1>"01,02,03,04"</formula1>
    </dataValidation>
    <dataValidation sqref="I12" showDropDown="0" showInputMessage="0" showErrorMessage="0" allowBlank="1" type="list">
      <formula1>"M,F"</formula1>
    </dataValidation>
    <dataValidation sqref="L12" showDropDown="0" showInputMessage="0" showErrorMessage="0" allowBlank="1" type="list">
      <formula1>"01,02"</formula1>
    </dataValidation>
    <dataValidation sqref="M12" showDropDown="0" showInputMessage="0" showErrorMessage="0" allowBlank="1" type="list">
      <formula1>"SI,NO"</formula1>
    </dataValidation>
    <dataValidation sqref="X12" showDropDown="0" showInputMessage="0" showErrorMessage="0" allowBlank="1" type="list">
      <formula1>"Sí,No"</formula1>
    </dataValidation>
    <dataValidation sqref="B13" showDropDown="0" showInputMessage="0" showErrorMessage="0" allowBlank="1" type="list">
      <formula1>"CC,TI,CE,RC,PA,MS,AS"</formula1>
    </dataValidation>
    <dataValidation sqref="G13" showDropDown="0" showInputMessage="0" showErrorMessage="0" allowBlank="1" type="list">
      <formula1>"01,02,03,04"</formula1>
    </dataValidation>
    <dataValidation sqref="I13" showDropDown="0" showInputMessage="0" showErrorMessage="0" allowBlank="1" type="list">
      <formula1>"M,F"</formula1>
    </dataValidation>
    <dataValidation sqref="L13" showDropDown="0" showInputMessage="0" showErrorMessage="0" allowBlank="1" type="list">
      <formula1>"01,02"</formula1>
    </dataValidation>
    <dataValidation sqref="M13" showDropDown="0" showInputMessage="0" showErrorMessage="0" allowBlank="1" type="list">
      <formula1>"SI,NO"</formula1>
    </dataValidation>
    <dataValidation sqref="X13" showDropDown="0" showInputMessage="0" showErrorMessage="0" allowBlank="1" type="list">
      <formula1>"Sí,No"</formula1>
    </dataValidation>
    <dataValidation sqref="B14" showDropDown="0" showInputMessage="0" showErrorMessage="0" allowBlank="1" type="list">
      <formula1>"CC,TI,CE,RC,PA,MS,AS"</formula1>
    </dataValidation>
    <dataValidation sqref="G14" showDropDown="0" showInputMessage="0" showErrorMessage="0" allowBlank="1" type="list">
      <formula1>"01,02,03,04"</formula1>
    </dataValidation>
    <dataValidation sqref="I14" showDropDown="0" showInputMessage="0" showErrorMessage="0" allowBlank="1" type="list">
      <formula1>"M,F"</formula1>
    </dataValidation>
    <dataValidation sqref="L14" showDropDown="0" showInputMessage="0" showErrorMessage="0" allowBlank="1" type="list">
      <formula1>"01,02"</formula1>
    </dataValidation>
    <dataValidation sqref="M14" showDropDown="0" showInputMessage="0" showErrorMessage="0" allowBlank="1" type="list">
      <formula1>"SI,NO"</formula1>
    </dataValidation>
    <dataValidation sqref="X14" showDropDown="0" showInputMessage="0" showErrorMessage="0" allowBlank="1" type="list">
      <formula1>"Sí,No"</formula1>
    </dataValidation>
    <dataValidation sqref="B15" showDropDown="0" showInputMessage="0" showErrorMessage="0" allowBlank="1" type="list">
      <formula1>"CC,TI,CE,RC,PA,MS,AS"</formula1>
    </dataValidation>
    <dataValidation sqref="G15" showDropDown="0" showInputMessage="0" showErrorMessage="0" allowBlank="1" type="list">
      <formula1>"01,02,03,04"</formula1>
    </dataValidation>
    <dataValidation sqref="I15" showDropDown="0" showInputMessage="0" showErrorMessage="0" allowBlank="1" type="list">
      <formula1>"M,F"</formula1>
    </dataValidation>
    <dataValidation sqref="L15" showDropDown="0" showInputMessage="0" showErrorMessage="0" allowBlank="1" type="list">
      <formula1>"01,02"</formula1>
    </dataValidation>
    <dataValidation sqref="M15" showDropDown="0" showInputMessage="0" showErrorMessage="0" allowBlank="1" type="list">
      <formula1>"SI,NO"</formula1>
    </dataValidation>
    <dataValidation sqref="X15" showDropDown="0" showInputMessage="0" showErrorMessage="0" allowBlank="1" type="list">
      <formula1>"Sí,No"</formula1>
    </dataValidation>
    <dataValidation sqref="B16" showDropDown="0" showInputMessage="0" showErrorMessage="0" allowBlank="1" type="list">
      <formula1>"CC,TI,CE,RC,PA,MS,AS"</formula1>
    </dataValidation>
    <dataValidation sqref="G16" showDropDown="0" showInputMessage="0" showErrorMessage="0" allowBlank="1" type="list">
      <formula1>"01,02,03,04"</formula1>
    </dataValidation>
    <dataValidation sqref="I16" showDropDown="0" showInputMessage="0" showErrorMessage="0" allowBlank="1" type="list">
      <formula1>"M,F"</formula1>
    </dataValidation>
    <dataValidation sqref="L16" showDropDown="0" showInputMessage="0" showErrorMessage="0" allowBlank="1" type="list">
      <formula1>"01,02"</formula1>
    </dataValidation>
    <dataValidation sqref="M16" showDropDown="0" showInputMessage="0" showErrorMessage="0" allowBlank="1" type="list">
      <formula1>"SI,NO"</formula1>
    </dataValidation>
    <dataValidation sqref="X16" showDropDown="0" showInputMessage="0" showErrorMessage="0" allowBlank="1" type="list">
      <formula1>"Sí,No"</formula1>
    </dataValidation>
    <dataValidation sqref="B17" showDropDown="0" showInputMessage="0" showErrorMessage="0" allowBlank="1" type="list">
      <formula1>"CC,TI,CE,RC,PA,MS,AS"</formula1>
    </dataValidation>
    <dataValidation sqref="G17" showDropDown="0" showInputMessage="0" showErrorMessage="0" allowBlank="1" type="list">
      <formula1>"01,02,03,04"</formula1>
    </dataValidation>
    <dataValidation sqref="I17" showDropDown="0" showInputMessage="0" showErrorMessage="0" allowBlank="1" type="list">
      <formula1>"M,F"</formula1>
    </dataValidation>
    <dataValidation sqref="L17" showDropDown="0" showInputMessage="0" showErrorMessage="0" allowBlank="1" type="list">
      <formula1>"01,02"</formula1>
    </dataValidation>
    <dataValidation sqref="M17" showDropDown="0" showInputMessage="0" showErrorMessage="0" allowBlank="1" type="list">
      <formula1>"SI,NO"</formula1>
    </dataValidation>
    <dataValidation sqref="X17" showDropDown="0" showInputMessage="0" showErrorMessage="0" allowBlank="1" type="list">
      <formula1>"Sí,No"</formula1>
    </dataValidation>
    <dataValidation sqref="B18" showDropDown="0" showInputMessage="0" showErrorMessage="0" allowBlank="1" type="list">
      <formula1>"CC,TI,CE,RC,PA,MS,AS"</formula1>
    </dataValidation>
    <dataValidation sqref="G18" showDropDown="0" showInputMessage="0" showErrorMessage="0" allowBlank="1" type="list">
      <formula1>"01,02,03,04"</formula1>
    </dataValidation>
    <dataValidation sqref="I18" showDropDown="0" showInputMessage="0" showErrorMessage="0" allowBlank="1" type="list">
      <formula1>"M,F"</formula1>
    </dataValidation>
    <dataValidation sqref="L18" showDropDown="0" showInputMessage="0" showErrorMessage="0" allowBlank="1" type="list">
      <formula1>"01,02"</formula1>
    </dataValidation>
    <dataValidation sqref="M18" showDropDown="0" showInputMessage="0" showErrorMessage="0" allowBlank="1" type="list">
      <formula1>"SI,NO"</formula1>
    </dataValidation>
    <dataValidation sqref="X18" showDropDown="0" showInputMessage="0" showErrorMessage="0" allowBlank="1" type="list">
      <formula1>"Sí,No"</formula1>
    </dataValidation>
    <dataValidation sqref="B19" showDropDown="0" showInputMessage="0" showErrorMessage="0" allowBlank="1" type="list">
      <formula1>"CC,TI,CE,RC,PA,MS,AS"</formula1>
    </dataValidation>
    <dataValidation sqref="G19" showDropDown="0" showInputMessage="0" showErrorMessage="0" allowBlank="1" type="list">
      <formula1>"01,02,03,04"</formula1>
    </dataValidation>
    <dataValidation sqref="I19" showDropDown="0" showInputMessage="0" showErrorMessage="0" allowBlank="1" type="list">
      <formula1>"M,F"</formula1>
    </dataValidation>
    <dataValidation sqref="L19" showDropDown="0" showInputMessage="0" showErrorMessage="0" allowBlank="1" type="list">
      <formula1>"01,02"</formula1>
    </dataValidation>
    <dataValidation sqref="M19" showDropDown="0" showInputMessage="0" showErrorMessage="0" allowBlank="1" type="list">
      <formula1>"SI,NO"</formula1>
    </dataValidation>
    <dataValidation sqref="X19" showDropDown="0" showInputMessage="0" showErrorMessage="0" allowBlank="1" type="list">
      <formula1>"Sí,No"</formula1>
    </dataValidation>
    <dataValidation sqref="B20" showDropDown="0" showInputMessage="0" showErrorMessage="0" allowBlank="1" type="list">
      <formula1>"CC,TI,CE,RC,PA,MS,AS"</formula1>
    </dataValidation>
    <dataValidation sqref="G20" showDropDown="0" showInputMessage="0" showErrorMessage="0" allowBlank="1" type="list">
      <formula1>"01,02,03,04"</formula1>
    </dataValidation>
    <dataValidation sqref="I20" showDropDown="0" showInputMessage="0" showErrorMessage="0" allowBlank="1" type="list">
      <formula1>"M,F"</formula1>
    </dataValidation>
    <dataValidation sqref="L20" showDropDown="0" showInputMessage="0" showErrorMessage="0" allowBlank="1" type="list">
      <formula1>"01,02"</formula1>
    </dataValidation>
    <dataValidation sqref="M20" showDropDown="0" showInputMessage="0" showErrorMessage="0" allowBlank="1" type="list">
      <formula1>"SI,NO"</formula1>
    </dataValidation>
    <dataValidation sqref="X20" showDropDown="0" showInputMessage="0" showErrorMessage="0" allowBlank="1" type="list">
      <formula1>"Sí,No"</formula1>
    </dataValidation>
    <dataValidation sqref="B21" showDropDown="0" showInputMessage="0" showErrorMessage="0" allowBlank="1" type="list">
      <formula1>"CC,TI,CE,RC,PA,MS,AS"</formula1>
    </dataValidation>
    <dataValidation sqref="G21" showDropDown="0" showInputMessage="0" showErrorMessage="0" allowBlank="1" type="list">
      <formula1>"01,02,03,04"</formula1>
    </dataValidation>
    <dataValidation sqref="I21" showDropDown="0" showInputMessage="0" showErrorMessage="0" allowBlank="1" type="list">
      <formula1>"M,F"</formula1>
    </dataValidation>
    <dataValidation sqref="L21" showDropDown="0" showInputMessage="0" showErrorMessage="0" allowBlank="1" type="list">
      <formula1>"01,02"</formula1>
    </dataValidation>
    <dataValidation sqref="M21" showDropDown="0" showInputMessage="0" showErrorMessage="0" allowBlank="1" type="list">
      <formula1>"SI,NO"</formula1>
    </dataValidation>
    <dataValidation sqref="X21" showDropDown="0" showInputMessage="0" showErrorMessage="0" allowBlank="1" type="list">
      <formula1>"Sí,No"</formula1>
    </dataValidation>
    <dataValidation sqref="B22" showDropDown="0" showInputMessage="0" showErrorMessage="0" allowBlank="1" type="list">
      <formula1>"CC,TI,CE,RC,PA,MS,AS"</formula1>
    </dataValidation>
    <dataValidation sqref="G22" showDropDown="0" showInputMessage="0" showErrorMessage="0" allowBlank="1" type="list">
      <formula1>"01,02,03,04"</formula1>
    </dataValidation>
    <dataValidation sqref="I22" showDropDown="0" showInputMessage="0" showErrorMessage="0" allowBlank="1" type="list">
      <formula1>"M,F"</formula1>
    </dataValidation>
    <dataValidation sqref="L22" showDropDown="0" showInputMessage="0" showErrorMessage="0" allowBlank="1" type="list">
      <formula1>"01,02"</formula1>
    </dataValidation>
    <dataValidation sqref="M22" showDropDown="0" showInputMessage="0" showErrorMessage="0" allowBlank="1" type="list">
      <formula1>"SI,NO"</formula1>
    </dataValidation>
    <dataValidation sqref="X22" showDropDown="0" showInputMessage="0" showErrorMessage="0" allowBlank="1" type="list">
      <formula1>"Sí,No"</formula1>
    </dataValidation>
    <dataValidation sqref="B23" showDropDown="0" showInputMessage="0" showErrorMessage="0" allowBlank="1" type="list">
      <formula1>"CC,TI,CE,RC,PA,MS,AS"</formula1>
    </dataValidation>
    <dataValidation sqref="G23" showDropDown="0" showInputMessage="0" showErrorMessage="0" allowBlank="1" type="list">
      <formula1>"01,02,03,04"</formula1>
    </dataValidation>
    <dataValidation sqref="I23" showDropDown="0" showInputMessage="0" showErrorMessage="0" allowBlank="1" type="list">
      <formula1>"M,F"</formula1>
    </dataValidation>
    <dataValidation sqref="L23" showDropDown="0" showInputMessage="0" showErrorMessage="0" allowBlank="1" type="list">
      <formula1>"01,02"</formula1>
    </dataValidation>
    <dataValidation sqref="M23" showDropDown="0" showInputMessage="0" showErrorMessage="0" allowBlank="1" type="list">
      <formula1>"SI,NO"</formula1>
    </dataValidation>
    <dataValidation sqref="X23" showDropDown="0" showInputMessage="0" showErrorMessage="0" allowBlank="1" type="list">
      <formula1>"Sí,No"</formula1>
    </dataValidation>
    <dataValidation sqref="B24" showDropDown="0" showInputMessage="0" showErrorMessage="0" allowBlank="1" type="list">
      <formula1>"CC,TI,CE,RC,PA,MS,AS"</formula1>
    </dataValidation>
    <dataValidation sqref="G24" showDropDown="0" showInputMessage="0" showErrorMessage="0" allowBlank="1" type="list">
      <formula1>"01,02,03,04"</formula1>
    </dataValidation>
    <dataValidation sqref="I24" showDropDown="0" showInputMessage="0" showErrorMessage="0" allowBlank="1" type="list">
      <formula1>"M,F"</formula1>
    </dataValidation>
    <dataValidation sqref="L24" showDropDown="0" showInputMessage="0" showErrorMessage="0" allowBlank="1" type="list">
      <formula1>"01,02"</formula1>
    </dataValidation>
    <dataValidation sqref="M24" showDropDown="0" showInputMessage="0" showErrorMessage="0" allowBlank="1" type="list">
      <formula1>"SI,NO"</formula1>
    </dataValidation>
    <dataValidation sqref="X24" showDropDown="0" showInputMessage="0" showErrorMessage="0" allowBlank="1" type="list">
      <formula1>"Sí,No"</formula1>
    </dataValidation>
    <dataValidation sqref="B25" showDropDown="0" showInputMessage="0" showErrorMessage="0" allowBlank="1" type="list">
      <formula1>"CC,TI,CE,RC,PA,MS,AS"</formula1>
    </dataValidation>
    <dataValidation sqref="G25" showDropDown="0" showInputMessage="0" showErrorMessage="0" allowBlank="1" type="list">
      <formula1>"01,02,03,04"</formula1>
    </dataValidation>
    <dataValidation sqref="I25" showDropDown="0" showInputMessage="0" showErrorMessage="0" allowBlank="1" type="list">
      <formula1>"M,F"</formula1>
    </dataValidation>
    <dataValidation sqref="L25" showDropDown="0" showInputMessage="0" showErrorMessage="0" allowBlank="1" type="list">
      <formula1>"01,02"</formula1>
    </dataValidation>
    <dataValidation sqref="M25" showDropDown="0" showInputMessage="0" showErrorMessage="0" allowBlank="1" type="list">
      <formula1>"SI,NO"</formula1>
    </dataValidation>
    <dataValidation sqref="X25" showDropDown="0" showInputMessage="0" showErrorMessage="0" allowBlank="1" type="list">
      <formula1>"Sí,No"</formula1>
    </dataValidation>
    <dataValidation sqref="B26" showDropDown="0" showInputMessage="0" showErrorMessage="0" allowBlank="1" type="list">
      <formula1>"CC,TI,CE,RC,PA,MS,AS"</formula1>
    </dataValidation>
    <dataValidation sqref="G26" showDropDown="0" showInputMessage="0" showErrorMessage="0" allowBlank="1" type="list">
      <formula1>"01,02,03,04"</formula1>
    </dataValidation>
    <dataValidation sqref="I26" showDropDown="0" showInputMessage="0" showErrorMessage="0" allowBlank="1" type="list">
      <formula1>"M,F"</formula1>
    </dataValidation>
    <dataValidation sqref="L26" showDropDown="0" showInputMessage="0" showErrorMessage="0" allowBlank="1" type="list">
      <formula1>"01,02"</formula1>
    </dataValidation>
    <dataValidation sqref="M26" showDropDown="0" showInputMessage="0" showErrorMessage="0" allowBlank="1" type="list">
      <formula1>"SI,NO"</formula1>
    </dataValidation>
    <dataValidation sqref="X26" showDropDown="0" showInputMessage="0" showErrorMessage="0" allowBlank="1" type="list">
      <formula1>"Sí,No"</formula1>
    </dataValidation>
    <dataValidation sqref="B27" showDropDown="0" showInputMessage="0" showErrorMessage="0" allowBlank="1" type="list">
      <formula1>"CC,TI,CE,RC,PA,MS,AS"</formula1>
    </dataValidation>
    <dataValidation sqref="G27" showDropDown="0" showInputMessage="0" showErrorMessage="0" allowBlank="1" type="list">
      <formula1>"01,02,03,04"</formula1>
    </dataValidation>
    <dataValidation sqref="I27" showDropDown="0" showInputMessage="0" showErrorMessage="0" allowBlank="1" type="list">
      <formula1>"M,F"</formula1>
    </dataValidation>
    <dataValidation sqref="L27" showDropDown="0" showInputMessage="0" showErrorMessage="0" allowBlank="1" type="list">
      <formula1>"01,02"</formula1>
    </dataValidation>
    <dataValidation sqref="M27" showDropDown="0" showInputMessage="0" showErrorMessage="0" allowBlank="1" type="list">
      <formula1>"SI,NO"</formula1>
    </dataValidation>
    <dataValidation sqref="X27" showDropDown="0" showInputMessage="0" showErrorMessage="0" allowBlank="1" type="list">
      <formula1>"Sí,No"</formula1>
    </dataValidation>
    <dataValidation sqref="B28" showDropDown="0" showInputMessage="0" showErrorMessage="0" allowBlank="1" type="list">
      <formula1>"CC,TI,CE,RC,PA,MS,AS"</formula1>
    </dataValidation>
    <dataValidation sqref="G28" showDropDown="0" showInputMessage="0" showErrorMessage="0" allowBlank="1" type="list">
      <formula1>"01,02,03,04"</formula1>
    </dataValidation>
    <dataValidation sqref="I28" showDropDown="0" showInputMessage="0" showErrorMessage="0" allowBlank="1" type="list">
      <formula1>"M,F"</formula1>
    </dataValidation>
    <dataValidation sqref="L28" showDropDown="0" showInputMessage="0" showErrorMessage="0" allowBlank="1" type="list">
      <formula1>"01,02"</formula1>
    </dataValidation>
    <dataValidation sqref="M28" showDropDown="0" showInputMessage="0" showErrorMessage="0" allowBlank="1" type="list">
      <formula1>"SI,NO"</formula1>
    </dataValidation>
    <dataValidation sqref="X28" showDropDown="0" showInputMessage="0" showErrorMessage="0" allowBlank="1" type="list">
      <formula1>"Sí,No"</formula1>
    </dataValidation>
    <dataValidation sqref="B29" showDropDown="0" showInputMessage="0" showErrorMessage="0" allowBlank="1" type="list">
      <formula1>"CC,TI,CE,RC,PA,MS,AS"</formula1>
    </dataValidation>
    <dataValidation sqref="G29" showDropDown="0" showInputMessage="0" showErrorMessage="0" allowBlank="1" type="list">
      <formula1>"01,02,03,04"</formula1>
    </dataValidation>
    <dataValidation sqref="I29" showDropDown="0" showInputMessage="0" showErrorMessage="0" allowBlank="1" type="list">
      <formula1>"M,F"</formula1>
    </dataValidation>
    <dataValidation sqref="L29" showDropDown="0" showInputMessage="0" showErrorMessage="0" allowBlank="1" type="list">
      <formula1>"01,02"</formula1>
    </dataValidation>
    <dataValidation sqref="M29" showDropDown="0" showInputMessage="0" showErrorMessage="0" allowBlank="1" type="list">
      <formula1>"SI,NO"</formula1>
    </dataValidation>
    <dataValidation sqref="X29" showDropDown="0" showInputMessage="0" showErrorMessage="0" allowBlank="1" type="list">
      <formula1>"Sí,No"</formula1>
    </dataValidation>
    <dataValidation sqref="B30" showDropDown="0" showInputMessage="0" showErrorMessage="0" allowBlank="1" type="list">
      <formula1>"CC,TI,CE,RC,PA,MS,AS"</formula1>
    </dataValidation>
    <dataValidation sqref="G30" showDropDown="0" showInputMessage="0" showErrorMessage="0" allowBlank="1" type="list">
      <formula1>"01,02,03,04"</formula1>
    </dataValidation>
    <dataValidation sqref="I30" showDropDown="0" showInputMessage="0" showErrorMessage="0" allowBlank="1" type="list">
      <formula1>"M,F"</formula1>
    </dataValidation>
    <dataValidation sqref="L30" showDropDown="0" showInputMessage="0" showErrorMessage="0" allowBlank="1" type="list">
      <formula1>"01,02"</formula1>
    </dataValidation>
    <dataValidation sqref="M30" showDropDown="0" showInputMessage="0" showErrorMessage="0" allowBlank="1" type="list">
      <formula1>"SI,NO"</formula1>
    </dataValidation>
    <dataValidation sqref="X30" showDropDown="0" showInputMessage="0" showErrorMessage="0" allowBlank="1" type="list">
      <formula1>"Sí,No"</formula1>
    </dataValidation>
    <dataValidation sqref="B31" showDropDown="0" showInputMessage="0" showErrorMessage="0" allowBlank="1" type="list">
      <formula1>"CC,TI,CE,RC,PA,MS,AS"</formula1>
    </dataValidation>
    <dataValidation sqref="G31" showDropDown="0" showInputMessage="0" showErrorMessage="0" allowBlank="1" type="list">
      <formula1>"01,02,03,04"</formula1>
    </dataValidation>
    <dataValidation sqref="I31" showDropDown="0" showInputMessage="0" showErrorMessage="0" allowBlank="1" type="list">
      <formula1>"M,F"</formula1>
    </dataValidation>
    <dataValidation sqref="L31" showDropDown="0" showInputMessage="0" showErrorMessage="0" allowBlank="1" type="list">
      <formula1>"01,02"</formula1>
    </dataValidation>
    <dataValidation sqref="M31" showDropDown="0" showInputMessage="0" showErrorMessage="0" allowBlank="1" type="list">
      <formula1>"SI,NO"</formula1>
    </dataValidation>
    <dataValidation sqref="X31" showDropDown="0" showInputMessage="0" showErrorMessage="0" allowBlank="1" type="list">
      <formula1>"Sí,No"</formula1>
    </dataValidation>
    <dataValidation sqref="B32" showDropDown="0" showInputMessage="0" showErrorMessage="0" allowBlank="1" type="list">
      <formula1>"CC,TI,CE,RC,PA,MS,AS"</formula1>
    </dataValidation>
    <dataValidation sqref="G32" showDropDown="0" showInputMessage="0" showErrorMessage="0" allowBlank="1" type="list">
      <formula1>"01,02,03,04"</formula1>
    </dataValidation>
    <dataValidation sqref="I32" showDropDown="0" showInputMessage="0" showErrorMessage="0" allowBlank="1" type="list">
      <formula1>"M,F"</formula1>
    </dataValidation>
    <dataValidation sqref="L32" showDropDown="0" showInputMessage="0" showErrorMessage="0" allowBlank="1" type="list">
      <formula1>"01,02"</formula1>
    </dataValidation>
    <dataValidation sqref="M32" showDropDown="0" showInputMessage="0" showErrorMessage="0" allowBlank="1" type="list">
      <formula1>"SI,NO"</formula1>
    </dataValidation>
    <dataValidation sqref="X32" showDropDown="0" showInputMessage="0" showErrorMessage="0" allowBlank="1" type="list">
      <formula1>"Sí,No"</formula1>
    </dataValidation>
    <dataValidation sqref="B33" showDropDown="0" showInputMessage="0" showErrorMessage="0" allowBlank="1" type="list">
      <formula1>"CC,TI,CE,RC,PA,MS,AS"</formula1>
    </dataValidation>
    <dataValidation sqref="G33" showDropDown="0" showInputMessage="0" showErrorMessage="0" allowBlank="1" type="list">
      <formula1>"01,02,03,04"</formula1>
    </dataValidation>
    <dataValidation sqref="I33" showDropDown="0" showInputMessage="0" showErrorMessage="0" allowBlank="1" type="list">
      <formula1>"M,F"</formula1>
    </dataValidation>
    <dataValidation sqref="L33" showDropDown="0" showInputMessage="0" showErrorMessage="0" allowBlank="1" type="list">
      <formula1>"01,02"</formula1>
    </dataValidation>
    <dataValidation sqref="M33" showDropDown="0" showInputMessage="0" showErrorMessage="0" allowBlank="1" type="list">
      <formula1>"SI,NO"</formula1>
    </dataValidation>
    <dataValidation sqref="X33" showDropDown="0" showInputMessage="0" showErrorMessage="0" allowBlank="1" type="list">
      <formula1>"Sí,No"</formula1>
    </dataValidation>
    <dataValidation sqref="B34" showDropDown="0" showInputMessage="0" showErrorMessage="0" allowBlank="1" type="list">
      <formula1>"CC,TI,CE,RC,PA,MS,AS"</formula1>
    </dataValidation>
    <dataValidation sqref="G34" showDropDown="0" showInputMessage="0" showErrorMessage="0" allowBlank="1" type="list">
      <formula1>"01,02,03,04"</formula1>
    </dataValidation>
    <dataValidation sqref="I34" showDropDown="0" showInputMessage="0" showErrorMessage="0" allowBlank="1" type="list">
      <formula1>"M,F"</formula1>
    </dataValidation>
    <dataValidation sqref="L34" showDropDown="0" showInputMessage="0" showErrorMessage="0" allowBlank="1" type="list">
      <formula1>"01,02"</formula1>
    </dataValidation>
    <dataValidation sqref="M34" showDropDown="0" showInputMessage="0" showErrorMessage="0" allowBlank="1" type="list">
      <formula1>"SI,NO"</formula1>
    </dataValidation>
    <dataValidation sqref="X34" showDropDown="0" showInputMessage="0" showErrorMessage="0" allowBlank="1" type="list">
      <formula1>"Sí,No"</formula1>
    </dataValidation>
    <dataValidation sqref="B35" showDropDown="0" showInputMessage="0" showErrorMessage="0" allowBlank="1" type="list">
      <formula1>"CC,TI,CE,RC,PA,MS,AS"</formula1>
    </dataValidation>
    <dataValidation sqref="G35" showDropDown="0" showInputMessage="0" showErrorMessage="0" allowBlank="1" type="list">
      <formula1>"01,02,03,04"</formula1>
    </dataValidation>
    <dataValidation sqref="I35" showDropDown="0" showInputMessage="0" showErrorMessage="0" allowBlank="1" type="list">
      <formula1>"M,F"</formula1>
    </dataValidation>
    <dataValidation sqref="L35" showDropDown="0" showInputMessage="0" showErrorMessage="0" allowBlank="1" type="list">
      <formula1>"01,02"</formula1>
    </dataValidation>
    <dataValidation sqref="M35" showDropDown="0" showInputMessage="0" showErrorMessage="0" allowBlank="1" type="list">
      <formula1>"SI,NO"</formula1>
    </dataValidation>
    <dataValidation sqref="X35" showDropDown="0" showInputMessage="0" showErrorMessage="0" allowBlank="1" type="list">
      <formula1>"Sí,No"</formula1>
    </dataValidation>
    <dataValidation sqref="B36" showDropDown="0" showInputMessage="0" showErrorMessage="0" allowBlank="1" type="list">
      <formula1>"CC,TI,CE,RC,PA,MS,AS"</formula1>
    </dataValidation>
    <dataValidation sqref="G36" showDropDown="0" showInputMessage="0" showErrorMessage="0" allowBlank="1" type="list">
      <formula1>"01,02,03,04"</formula1>
    </dataValidation>
    <dataValidation sqref="I36" showDropDown="0" showInputMessage="0" showErrorMessage="0" allowBlank="1" type="list">
      <formula1>"M,F"</formula1>
    </dataValidation>
    <dataValidation sqref="L36" showDropDown="0" showInputMessage="0" showErrorMessage="0" allowBlank="1" type="list">
      <formula1>"01,02"</formula1>
    </dataValidation>
    <dataValidation sqref="M36" showDropDown="0" showInputMessage="0" showErrorMessage="0" allowBlank="1" type="list">
      <formula1>"SI,NO"</formula1>
    </dataValidation>
    <dataValidation sqref="X36" showDropDown="0" showInputMessage="0" showErrorMessage="0" allowBlank="1" type="list">
      <formula1>"Sí,No"</formula1>
    </dataValidation>
    <dataValidation sqref="B37" showDropDown="0" showInputMessage="0" showErrorMessage="0" allowBlank="1" type="list">
      <formula1>"CC,TI,CE,RC,PA,MS,AS"</formula1>
    </dataValidation>
    <dataValidation sqref="G37" showDropDown="0" showInputMessage="0" showErrorMessage="0" allowBlank="1" type="list">
      <formula1>"01,02,03,04"</formula1>
    </dataValidation>
    <dataValidation sqref="I37" showDropDown="0" showInputMessage="0" showErrorMessage="0" allowBlank="1" type="list">
      <formula1>"M,F"</formula1>
    </dataValidation>
    <dataValidation sqref="L37" showDropDown="0" showInputMessage="0" showErrorMessage="0" allowBlank="1" type="list">
      <formula1>"01,02"</formula1>
    </dataValidation>
    <dataValidation sqref="M37" showDropDown="0" showInputMessage="0" showErrorMessage="0" allowBlank="1" type="list">
      <formula1>"SI,NO"</formula1>
    </dataValidation>
    <dataValidation sqref="X37" showDropDown="0" showInputMessage="0" showErrorMessage="0" allowBlank="1" type="list">
      <formula1>"Sí,No"</formula1>
    </dataValidation>
    <dataValidation sqref="B38" showDropDown="0" showInputMessage="0" showErrorMessage="0" allowBlank="1" type="list">
      <formula1>"CC,TI,CE,RC,PA,MS,AS"</formula1>
    </dataValidation>
    <dataValidation sqref="G38" showDropDown="0" showInputMessage="0" showErrorMessage="0" allowBlank="1" type="list">
      <formula1>"01,02,03,04"</formula1>
    </dataValidation>
    <dataValidation sqref="I38" showDropDown="0" showInputMessage="0" showErrorMessage="0" allowBlank="1" type="list">
      <formula1>"M,F"</formula1>
    </dataValidation>
    <dataValidation sqref="L38" showDropDown="0" showInputMessage="0" showErrorMessage="0" allowBlank="1" type="list">
      <formula1>"01,02"</formula1>
    </dataValidation>
    <dataValidation sqref="M38" showDropDown="0" showInputMessage="0" showErrorMessage="0" allowBlank="1" type="list">
      <formula1>"SI,NO"</formula1>
    </dataValidation>
    <dataValidation sqref="X38" showDropDown="0" showInputMessage="0" showErrorMessage="0" allowBlank="1" type="list">
      <formula1>"Sí,No"</formula1>
    </dataValidation>
    <dataValidation sqref="B39" showDropDown="0" showInputMessage="0" showErrorMessage="0" allowBlank="1" type="list">
      <formula1>"CC,TI,CE,RC,PA,MS,AS"</formula1>
    </dataValidation>
    <dataValidation sqref="G39" showDropDown="0" showInputMessage="0" showErrorMessage="0" allowBlank="1" type="list">
      <formula1>"01,02,03,04"</formula1>
    </dataValidation>
    <dataValidation sqref="I39" showDropDown="0" showInputMessage="0" showErrorMessage="0" allowBlank="1" type="list">
      <formula1>"M,F"</formula1>
    </dataValidation>
    <dataValidation sqref="L39" showDropDown="0" showInputMessage="0" showErrorMessage="0" allowBlank="1" type="list">
      <formula1>"01,02"</formula1>
    </dataValidation>
    <dataValidation sqref="M39" showDropDown="0" showInputMessage="0" showErrorMessage="0" allowBlank="1" type="list">
      <formula1>"SI,NO"</formula1>
    </dataValidation>
    <dataValidation sqref="X39" showDropDown="0" showInputMessage="0" showErrorMessage="0" allowBlank="1" type="list">
      <formula1>"Sí,No"</formula1>
    </dataValidation>
    <dataValidation sqref="B40" showDropDown="0" showInputMessage="0" showErrorMessage="0" allowBlank="1" type="list">
      <formula1>"CC,TI,CE,RC,PA,MS,AS"</formula1>
    </dataValidation>
    <dataValidation sqref="G40" showDropDown="0" showInputMessage="0" showErrorMessage="0" allowBlank="1" type="list">
      <formula1>"01,02,03,04"</formula1>
    </dataValidation>
    <dataValidation sqref="I40" showDropDown="0" showInputMessage="0" showErrorMessage="0" allowBlank="1" type="list">
      <formula1>"M,F"</formula1>
    </dataValidation>
    <dataValidation sqref="L40" showDropDown="0" showInputMessage="0" showErrorMessage="0" allowBlank="1" type="list">
      <formula1>"01,02"</formula1>
    </dataValidation>
    <dataValidation sqref="M40" showDropDown="0" showInputMessage="0" showErrorMessage="0" allowBlank="1" type="list">
      <formula1>"SI,NO"</formula1>
    </dataValidation>
    <dataValidation sqref="X40" showDropDown="0" showInputMessage="0" showErrorMessage="0" allowBlank="1" type="list">
      <formula1>"Sí,No"</formula1>
    </dataValidation>
    <dataValidation sqref="B41" showDropDown="0" showInputMessage="0" showErrorMessage="0" allowBlank="1" type="list">
      <formula1>"CC,TI,CE,RC,PA,MS,AS"</formula1>
    </dataValidation>
    <dataValidation sqref="G41" showDropDown="0" showInputMessage="0" showErrorMessage="0" allowBlank="1" type="list">
      <formula1>"01,02,03,04"</formula1>
    </dataValidation>
    <dataValidation sqref="I41" showDropDown="0" showInputMessage="0" showErrorMessage="0" allowBlank="1" type="list">
      <formula1>"M,F"</formula1>
    </dataValidation>
    <dataValidation sqref="L41" showDropDown="0" showInputMessage="0" showErrorMessage="0" allowBlank="1" type="list">
      <formula1>"01,02"</formula1>
    </dataValidation>
    <dataValidation sqref="M41" showDropDown="0" showInputMessage="0" showErrorMessage="0" allowBlank="1" type="list">
      <formula1>"SI,NO"</formula1>
    </dataValidation>
    <dataValidation sqref="X41" showDropDown="0" showInputMessage="0" showErrorMessage="0" allowBlank="1" type="list">
      <formula1>"Sí,No"</formula1>
    </dataValidation>
    <dataValidation sqref="B42" showDropDown="0" showInputMessage="0" showErrorMessage="0" allowBlank="1" type="list">
      <formula1>"CC,TI,CE,RC,PA,MS,AS"</formula1>
    </dataValidation>
    <dataValidation sqref="G42" showDropDown="0" showInputMessage="0" showErrorMessage="0" allowBlank="1" type="list">
      <formula1>"01,02,03,04"</formula1>
    </dataValidation>
    <dataValidation sqref="I42" showDropDown="0" showInputMessage="0" showErrorMessage="0" allowBlank="1" type="list">
      <formula1>"M,F"</formula1>
    </dataValidation>
    <dataValidation sqref="L42" showDropDown="0" showInputMessage="0" showErrorMessage="0" allowBlank="1" type="list">
      <formula1>"01,02"</formula1>
    </dataValidation>
    <dataValidation sqref="M42" showDropDown="0" showInputMessage="0" showErrorMessage="0" allowBlank="1" type="list">
      <formula1>"SI,NO"</formula1>
    </dataValidation>
    <dataValidation sqref="X42" showDropDown="0" showInputMessage="0" showErrorMessage="0" allowBlank="1" type="list">
      <formula1>"Sí,No"</formula1>
    </dataValidation>
    <dataValidation sqref="B43" showDropDown="0" showInputMessage="0" showErrorMessage="0" allowBlank="1" type="list">
      <formula1>"CC,TI,CE,RC,PA,MS,AS"</formula1>
    </dataValidation>
    <dataValidation sqref="G43" showDropDown="0" showInputMessage="0" showErrorMessage="0" allowBlank="1" type="list">
      <formula1>"01,02,03,04"</formula1>
    </dataValidation>
    <dataValidation sqref="I43" showDropDown="0" showInputMessage="0" showErrorMessage="0" allowBlank="1" type="list">
      <formula1>"M,F"</formula1>
    </dataValidation>
    <dataValidation sqref="L43" showDropDown="0" showInputMessage="0" showErrorMessage="0" allowBlank="1" type="list">
      <formula1>"01,02"</formula1>
    </dataValidation>
    <dataValidation sqref="M43" showDropDown="0" showInputMessage="0" showErrorMessage="0" allowBlank="1" type="list">
      <formula1>"SI,NO"</formula1>
    </dataValidation>
    <dataValidation sqref="X43" showDropDown="0" showInputMessage="0" showErrorMessage="0" allowBlank="1" type="list">
      <formula1>"Sí,No"</formula1>
    </dataValidation>
    <dataValidation sqref="B44" showDropDown="0" showInputMessage="0" showErrorMessage="0" allowBlank="1" type="list">
      <formula1>"CC,TI,CE,RC,PA,MS,AS"</formula1>
    </dataValidation>
    <dataValidation sqref="G44" showDropDown="0" showInputMessage="0" showErrorMessage="0" allowBlank="1" type="list">
      <formula1>"01,02,03,04"</formula1>
    </dataValidation>
    <dataValidation sqref="I44" showDropDown="0" showInputMessage="0" showErrorMessage="0" allowBlank="1" type="list">
      <formula1>"M,F"</formula1>
    </dataValidation>
    <dataValidation sqref="L44" showDropDown="0" showInputMessage="0" showErrorMessage="0" allowBlank="1" type="list">
      <formula1>"01,02"</formula1>
    </dataValidation>
    <dataValidation sqref="M44" showDropDown="0" showInputMessage="0" showErrorMessage="0" allowBlank="1" type="list">
      <formula1>"SI,NO"</formula1>
    </dataValidation>
    <dataValidation sqref="X44" showDropDown="0" showInputMessage="0" showErrorMessage="0" allowBlank="1" type="list">
      <formula1>"Sí,No"</formula1>
    </dataValidation>
    <dataValidation sqref="B45" showDropDown="0" showInputMessage="0" showErrorMessage="0" allowBlank="1" type="list">
      <formula1>"CC,TI,CE,RC,PA,MS,AS"</formula1>
    </dataValidation>
    <dataValidation sqref="G45" showDropDown="0" showInputMessage="0" showErrorMessage="0" allowBlank="1" type="list">
      <formula1>"01,02,03,04"</formula1>
    </dataValidation>
    <dataValidation sqref="I45" showDropDown="0" showInputMessage="0" showErrorMessage="0" allowBlank="1" type="list">
      <formula1>"M,F"</formula1>
    </dataValidation>
    <dataValidation sqref="L45" showDropDown="0" showInputMessage="0" showErrorMessage="0" allowBlank="1" type="list">
      <formula1>"01,02"</formula1>
    </dataValidation>
    <dataValidation sqref="M45" showDropDown="0" showInputMessage="0" showErrorMessage="0" allowBlank="1" type="list">
      <formula1>"SI,NO"</formula1>
    </dataValidation>
    <dataValidation sqref="X45" showDropDown="0" showInputMessage="0" showErrorMessage="0" allowBlank="1" type="list">
      <formula1>"Sí,No"</formula1>
    </dataValidation>
    <dataValidation sqref="B46" showDropDown="0" showInputMessage="0" showErrorMessage="0" allowBlank="1" type="list">
      <formula1>"CC,TI,CE,RC,PA,MS,AS"</formula1>
    </dataValidation>
    <dataValidation sqref="G46" showDropDown="0" showInputMessage="0" showErrorMessage="0" allowBlank="1" type="list">
      <formula1>"01,02,03,04"</formula1>
    </dataValidation>
    <dataValidation sqref="I46" showDropDown="0" showInputMessage="0" showErrorMessage="0" allowBlank="1" type="list">
      <formula1>"M,F"</formula1>
    </dataValidation>
    <dataValidation sqref="L46" showDropDown="0" showInputMessage="0" showErrorMessage="0" allowBlank="1" type="list">
      <formula1>"01,02"</formula1>
    </dataValidation>
    <dataValidation sqref="M46" showDropDown="0" showInputMessage="0" showErrorMessage="0" allowBlank="1" type="list">
      <formula1>"SI,NO"</formula1>
    </dataValidation>
    <dataValidation sqref="X46" showDropDown="0" showInputMessage="0" showErrorMessage="0" allowBlank="1" type="list">
      <formula1>"Sí,No"</formula1>
    </dataValidation>
    <dataValidation sqref="B47" showDropDown="0" showInputMessage="0" showErrorMessage="0" allowBlank="1" type="list">
      <formula1>"CC,TI,CE,RC,PA,MS,AS"</formula1>
    </dataValidation>
    <dataValidation sqref="G47" showDropDown="0" showInputMessage="0" showErrorMessage="0" allowBlank="1" type="list">
      <formula1>"01,02,03,04"</formula1>
    </dataValidation>
    <dataValidation sqref="I47" showDropDown="0" showInputMessage="0" showErrorMessage="0" allowBlank="1" type="list">
      <formula1>"M,F"</formula1>
    </dataValidation>
    <dataValidation sqref="L47" showDropDown="0" showInputMessage="0" showErrorMessage="0" allowBlank="1" type="list">
      <formula1>"01,02"</formula1>
    </dataValidation>
    <dataValidation sqref="M47" showDropDown="0" showInputMessage="0" showErrorMessage="0" allowBlank="1" type="list">
      <formula1>"SI,NO"</formula1>
    </dataValidation>
    <dataValidation sqref="X47" showDropDown="0" showInputMessage="0" showErrorMessage="0" allowBlank="1" type="list">
      <formula1>"Sí,No"</formula1>
    </dataValidation>
    <dataValidation sqref="B48" showDropDown="0" showInputMessage="0" showErrorMessage="0" allowBlank="1" type="list">
      <formula1>"CC,TI,CE,RC,PA,MS,AS"</formula1>
    </dataValidation>
    <dataValidation sqref="G48" showDropDown="0" showInputMessage="0" showErrorMessage="0" allowBlank="1" type="list">
      <formula1>"01,02,03,04"</formula1>
    </dataValidation>
    <dataValidation sqref="I48" showDropDown="0" showInputMessage="0" showErrorMessage="0" allowBlank="1" type="list">
      <formula1>"M,F"</formula1>
    </dataValidation>
    <dataValidation sqref="L48" showDropDown="0" showInputMessage="0" showErrorMessage="0" allowBlank="1" type="list">
      <formula1>"01,02"</formula1>
    </dataValidation>
    <dataValidation sqref="M48" showDropDown="0" showInputMessage="0" showErrorMessage="0" allowBlank="1" type="list">
      <formula1>"SI,NO"</formula1>
    </dataValidation>
    <dataValidation sqref="X48" showDropDown="0" showInputMessage="0" showErrorMessage="0" allowBlank="1" type="list">
      <formula1>"Sí,No"</formula1>
    </dataValidation>
    <dataValidation sqref="B49" showDropDown="0" showInputMessage="0" showErrorMessage="0" allowBlank="1" type="list">
      <formula1>"CC,TI,CE,RC,PA,MS,AS"</formula1>
    </dataValidation>
    <dataValidation sqref="G49" showDropDown="0" showInputMessage="0" showErrorMessage="0" allowBlank="1" type="list">
      <formula1>"01,02,03,04"</formula1>
    </dataValidation>
    <dataValidation sqref="I49" showDropDown="0" showInputMessage="0" showErrorMessage="0" allowBlank="1" type="list">
      <formula1>"M,F"</formula1>
    </dataValidation>
    <dataValidation sqref="L49" showDropDown="0" showInputMessage="0" showErrorMessage="0" allowBlank="1" type="list">
      <formula1>"01,02"</formula1>
    </dataValidation>
    <dataValidation sqref="M49" showDropDown="0" showInputMessage="0" showErrorMessage="0" allowBlank="1" type="list">
      <formula1>"SI,NO"</formula1>
    </dataValidation>
    <dataValidation sqref="X49" showDropDown="0" showInputMessage="0" showErrorMessage="0" allowBlank="1" type="list">
      <formula1>"Sí,No"</formula1>
    </dataValidation>
    <dataValidation sqref="B50" showDropDown="0" showInputMessage="0" showErrorMessage="0" allowBlank="1" type="list">
      <formula1>"CC,TI,CE,RC,PA,MS,AS"</formula1>
    </dataValidation>
    <dataValidation sqref="G50" showDropDown="0" showInputMessage="0" showErrorMessage="0" allowBlank="1" type="list">
      <formula1>"01,02,03,04"</formula1>
    </dataValidation>
    <dataValidation sqref="I50" showDropDown="0" showInputMessage="0" showErrorMessage="0" allowBlank="1" type="list">
      <formula1>"M,F"</formula1>
    </dataValidation>
    <dataValidation sqref="L50" showDropDown="0" showInputMessage="0" showErrorMessage="0" allowBlank="1" type="list">
      <formula1>"01,02"</formula1>
    </dataValidation>
    <dataValidation sqref="M50" showDropDown="0" showInputMessage="0" showErrorMessage="0" allowBlank="1" type="list">
      <formula1>"SI,NO"</formula1>
    </dataValidation>
    <dataValidation sqref="X50" showDropDown="0" showInputMessage="0" showErrorMessage="0" allowBlank="1" type="list">
      <formula1>"Sí,No"</formula1>
    </dataValidation>
    <dataValidation sqref="B51" showDropDown="0" showInputMessage="0" showErrorMessage="0" allowBlank="1" type="list">
      <formula1>"CC,TI,CE,RC,PA,MS,AS"</formula1>
    </dataValidation>
    <dataValidation sqref="G51" showDropDown="0" showInputMessage="0" showErrorMessage="0" allowBlank="1" type="list">
      <formula1>"01,02,03,04"</formula1>
    </dataValidation>
    <dataValidation sqref="I51" showDropDown="0" showInputMessage="0" showErrorMessage="0" allowBlank="1" type="list">
      <formula1>"M,F"</formula1>
    </dataValidation>
    <dataValidation sqref="L51" showDropDown="0" showInputMessage="0" showErrorMessage="0" allowBlank="1" type="list">
      <formula1>"01,02"</formula1>
    </dataValidation>
    <dataValidation sqref="M51" showDropDown="0" showInputMessage="0" showErrorMessage="0" allowBlank="1" type="list">
      <formula1>"SI,NO"</formula1>
    </dataValidation>
    <dataValidation sqref="X51" showDropDown="0" showInputMessage="0" showErrorMessage="0" allowBlank="1" type="list">
      <formula1>"Sí,No"</formula1>
    </dataValidation>
    <dataValidation sqref="B52" showDropDown="0" showInputMessage="0" showErrorMessage="0" allowBlank="1" type="list">
      <formula1>"CC,TI,CE,RC,PA,MS,AS"</formula1>
    </dataValidation>
    <dataValidation sqref="G52" showDropDown="0" showInputMessage="0" showErrorMessage="0" allowBlank="1" type="list">
      <formula1>"01,02,03,04"</formula1>
    </dataValidation>
    <dataValidation sqref="I52" showDropDown="0" showInputMessage="0" showErrorMessage="0" allowBlank="1" type="list">
      <formula1>"M,F"</formula1>
    </dataValidation>
    <dataValidation sqref="L52" showDropDown="0" showInputMessage="0" showErrorMessage="0" allowBlank="1" type="list">
      <formula1>"01,02"</formula1>
    </dataValidation>
    <dataValidation sqref="M52" showDropDown="0" showInputMessage="0" showErrorMessage="0" allowBlank="1" type="list">
      <formula1>"SI,NO"</formula1>
    </dataValidation>
    <dataValidation sqref="X52" showDropDown="0" showInputMessage="0" showErrorMessage="0" allowBlank="1" type="list">
      <formula1>"Sí,No"</formula1>
    </dataValidation>
    <dataValidation sqref="B53" showDropDown="0" showInputMessage="0" showErrorMessage="0" allowBlank="1" type="list">
      <formula1>"CC,TI,CE,RC,PA,MS,AS"</formula1>
    </dataValidation>
    <dataValidation sqref="G53" showDropDown="0" showInputMessage="0" showErrorMessage="0" allowBlank="1" type="list">
      <formula1>"01,02,03,04"</formula1>
    </dataValidation>
    <dataValidation sqref="I53" showDropDown="0" showInputMessage="0" showErrorMessage="0" allowBlank="1" type="list">
      <formula1>"M,F"</formula1>
    </dataValidation>
    <dataValidation sqref="L53" showDropDown="0" showInputMessage="0" showErrorMessage="0" allowBlank="1" type="list">
      <formula1>"01,02"</formula1>
    </dataValidation>
    <dataValidation sqref="M53" showDropDown="0" showInputMessage="0" showErrorMessage="0" allowBlank="1" type="list">
      <formula1>"SI,NO"</formula1>
    </dataValidation>
    <dataValidation sqref="X53" showDropDown="0" showInputMessage="0" showErrorMessage="0" allowBlank="1" type="list">
      <formula1>"Sí,No"</formula1>
    </dataValidation>
    <dataValidation sqref="B54" showDropDown="0" showInputMessage="0" showErrorMessage="0" allowBlank="1" type="list">
      <formula1>"CC,TI,CE,RC,PA,MS,AS"</formula1>
    </dataValidation>
    <dataValidation sqref="G54" showDropDown="0" showInputMessage="0" showErrorMessage="0" allowBlank="1" type="list">
      <formula1>"01,02,03,04"</formula1>
    </dataValidation>
    <dataValidation sqref="I54" showDropDown="0" showInputMessage="0" showErrorMessage="0" allowBlank="1" type="list">
      <formula1>"M,F"</formula1>
    </dataValidation>
    <dataValidation sqref="L54" showDropDown="0" showInputMessage="0" showErrorMessage="0" allowBlank="1" type="list">
      <formula1>"01,02"</formula1>
    </dataValidation>
    <dataValidation sqref="M54" showDropDown="0" showInputMessage="0" showErrorMessage="0" allowBlank="1" type="list">
      <formula1>"SI,NO"</formula1>
    </dataValidation>
    <dataValidation sqref="X54" showDropDown="0" showInputMessage="0" showErrorMessage="0" allowBlank="1" type="list">
      <formula1>"Sí,No"</formula1>
    </dataValidation>
    <dataValidation sqref="B55" showDropDown="0" showInputMessage="0" showErrorMessage="0" allowBlank="1" type="list">
      <formula1>"CC,TI,CE,RC,PA,MS,AS"</formula1>
    </dataValidation>
    <dataValidation sqref="G55" showDropDown="0" showInputMessage="0" showErrorMessage="0" allowBlank="1" type="list">
      <formula1>"01,02,03,04"</formula1>
    </dataValidation>
    <dataValidation sqref="I55" showDropDown="0" showInputMessage="0" showErrorMessage="0" allowBlank="1" type="list">
      <formula1>"M,F"</formula1>
    </dataValidation>
    <dataValidation sqref="L55" showDropDown="0" showInputMessage="0" showErrorMessage="0" allowBlank="1" type="list">
      <formula1>"01,02"</formula1>
    </dataValidation>
    <dataValidation sqref="M55" showDropDown="0" showInputMessage="0" showErrorMessage="0" allowBlank="1" type="list">
      <formula1>"SI,NO"</formula1>
    </dataValidation>
    <dataValidation sqref="X55" showDropDown="0" showInputMessage="0" showErrorMessage="0" allowBlank="1" type="list">
      <formula1>"Sí,No"</formula1>
    </dataValidation>
    <dataValidation sqref="B56" showDropDown="0" showInputMessage="0" showErrorMessage="0" allowBlank="1" type="list">
      <formula1>"CC,TI,CE,RC,PA,MS,AS"</formula1>
    </dataValidation>
    <dataValidation sqref="G56" showDropDown="0" showInputMessage="0" showErrorMessage="0" allowBlank="1" type="list">
      <formula1>"01,02,03,04"</formula1>
    </dataValidation>
    <dataValidation sqref="I56" showDropDown="0" showInputMessage="0" showErrorMessage="0" allowBlank="1" type="list">
      <formula1>"M,F"</formula1>
    </dataValidation>
    <dataValidation sqref="L56" showDropDown="0" showInputMessage="0" showErrorMessage="0" allowBlank="1" type="list">
      <formula1>"01,02"</formula1>
    </dataValidation>
    <dataValidation sqref="M56" showDropDown="0" showInputMessage="0" showErrorMessage="0" allowBlank="1" type="list">
      <formula1>"SI,NO"</formula1>
    </dataValidation>
    <dataValidation sqref="X56" showDropDown="0" showInputMessage="0" showErrorMessage="0" allowBlank="1" type="list">
      <formula1>"Sí,No"</formula1>
    </dataValidation>
    <dataValidation sqref="B57" showDropDown="0" showInputMessage="0" showErrorMessage="0" allowBlank="1" type="list">
      <formula1>"CC,TI,CE,RC,PA,MS,AS"</formula1>
    </dataValidation>
    <dataValidation sqref="G57" showDropDown="0" showInputMessage="0" showErrorMessage="0" allowBlank="1" type="list">
      <formula1>"01,02,03,04"</formula1>
    </dataValidation>
    <dataValidation sqref="I57" showDropDown="0" showInputMessage="0" showErrorMessage="0" allowBlank="1" type="list">
      <formula1>"M,F"</formula1>
    </dataValidation>
    <dataValidation sqref="L57" showDropDown="0" showInputMessage="0" showErrorMessage="0" allowBlank="1" type="list">
      <formula1>"01,02"</formula1>
    </dataValidation>
    <dataValidation sqref="M57" showDropDown="0" showInputMessage="0" showErrorMessage="0" allowBlank="1" type="list">
      <formula1>"SI,NO"</formula1>
    </dataValidation>
    <dataValidation sqref="X57" showDropDown="0" showInputMessage="0" showErrorMessage="0" allowBlank="1" type="list">
      <formula1>"Sí,No"</formula1>
    </dataValidation>
    <dataValidation sqref="B58" showDropDown="0" showInputMessage="0" showErrorMessage="0" allowBlank="1" type="list">
      <formula1>"CC,TI,CE,RC,PA,MS,AS"</formula1>
    </dataValidation>
    <dataValidation sqref="G58" showDropDown="0" showInputMessage="0" showErrorMessage="0" allowBlank="1" type="list">
      <formula1>"01,02,03,04"</formula1>
    </dataValidation>
    <dataValidation sqref="I58" showDropDown="0" showInputMessage="0" showErrorMessage="0" allowBlank="1" type="list">
      <formula1>"M,F"</formula1>
    </dataValidation>
    <dataValidation sqref="L58" showDropDown="0" showInputMessage="0" showErrorMessage="0" allowBlank="1" type="list">
      <formula1>"01,02"</formula1>
    </dataValidation>
    <dataValidation sqref="M58" showDropDown="0" showInputMessage="0" showErrorMessage="0" allowBlank="1" type="list">
      <formula1>"SI,NO"</formula1>
    </dataValidation>
    <dataValidation sqref="X58" showDropDown="0" showInputMessage="0" showErrorMessage="0" allowBlank="1" type="list">
      <formula1>"Sí,No"</formula1>
    </dataValidation>
    <dataValidation sqref="B59" showDropDown="0" showInputMessage="0" showErrorMessage="0" allowBlank="1" type="list">
      <formula1>"CC,TI,CE,RC,PA,MS,AS"</formula1>
    </dataValidation>
    <dataValidation sqref="G59" showDropDown="0" showInputMessage="0" showErrorMessage="0" allowBlank="1" type="list">
      <formula1>"01,02,03,04"</formula1>
    </dataValidation>
    <dataValidation sqref="I59" showDropDown="0" showInputMessage="0" showErrorMessage="0" allowBlank="1" type="list">
      <formula1>"M,F"</formula1>
    </dataValidation>
    <dataValidation sqref="L59" showDropDown="0" showInputMessage="0" showErrorMessage="0" allowBlank="1" type="list">
      <formula1>"01,02"</formula1>
    </dataValidation>
    <dataValidation sqref="M59" showDropDown="0" showInputMessage="0" showErrorMessage="0" allowBlank="1" type="list">
      <formula1>"SI,NO"</formula1>
    </dataValidation>
    <dataValidation sqref="X59" showDropDown="0" showInputMessage="0" showErrorMessage="0" allowBlank="1" type="list">
      <formula1>"Sí,No"</formula1>
    </dataValidation>
    <dataValidation sqref="B60" showDropDown="0" showInputMessage="0" showErrorMessage="0" allowBlank="1" type="list">
      <formula1>"CC,TI,CE,RC,PA,MS,AS"</formula1>
    </dataValidation>
    <dataValidation sqref="G60" showDropDown="0" showInputMessage="0" showErrorMessage="0" allowBlank="1" type="list">
      <formula1>"01,02,03,04"</formula1>
    </dataValidation>
    <dataValidation sqref="I60" showDropDown="0" showInputMessage="0" showErrorMessage="0" allowBlank="1" type="list">
      <formula1>"M,F"</formula1>
    </dataValidation>
    <dataValidation sqref="L60" showDropDown="0" showInputMessage="0" showErrorMessage="0" allowBlank="1" type="list">
      <formula1>"01,02"</formula1>
    </dataValidation>
    <dataValidation sqref="M60" showDropDown="0" showInputMessage="0" showErrorMessage="0" allowBlank="1" type="list">
      <formula1>"SI,NO"</formula1>
    </dataValidation>
    <dataValidation sqref="X60" showDropDown="0" showInputMessage="0" showErrorMessage="0" allowBlank="1" type="list">
      <formula1>"Sí,No"</formula1>
    </dataValidation>
    <dataValidation sqref="B61" showDropDown="0" showInputMessage="0" showErrorMessage="0" allowBlank="1" type="list">
      <formula1>"CC,TI,CE,RC,PA,MS,AS"</formula1>
    </dataValidation>
    <dataValidation sqref="G61" showDropDown="0" showInputMessage="0" showErrorMessage="0" allowBlank="1" type="list">
      <formula1>"01,02,03,04"</formula1>
    </dataValidation>
    <dataValidation sqref="I61" showDropDown="0" showInputMessage="0" showErrorMessage="0" allowBlank="1" type="list">
      <formula1>"M,F"</formula1>
    </dataValidation>
    <dataValidation sqref="L61" showDropDown="0" showInputMessage="0" showErrorMessage="0" allowBlank="1" type="list">
      <formula1>"01,02"</formula1>
    </dataValidation>
    <dataValidation sqref="M61" showDropDown="0" showInputMessage="0" showErrorMessage="0" allowBlank="1" type="list">
      <formula1>"SI,NO"</formula1>
    </dataValidation>
    <dataValidation sqref="X61" showDropDown="0" showInputMessage="0" showErrorMessage="0" allowBlank="1" type="list">
      <formula1>"Sí,No"</formula1>
    </dataValidation>
    <dataValidation sqref="B62" showDropDown="0" showInputMessage="0" showErrorMessage="0" allowBlank="1" type="list">
      <formula1>"CC,TI,CE,RC,PA,MS,AS"</formula1>
    </dataValidation>
    <dataValidation sqref="G62" showDropDown="0" showInputMessage="0" showErrorMessage="0" allowBlank="1" type="list">
      <formula1>"01,02,03,04"</formula1>
    </dataValidation>
    <dataValidation sqref="I62" showDropDown="0" showInputMessage="0" showErrorMessage="0" allowBlank="1" type="list">
      <formula1>"M,F"</formula1>
    </dataValidation>
    <dataValidation sqref="L62" showDropDown="0" showInputMessage="0" showErrorMessage="0" allowBlank="1" type="list">
      <formula1>"01,02"</formula1>
    </dataValidation>
    <dataValidation sqref="M62" showDropDown="0" showInputMessage="0" showErrorMessage="0" allowBlank="1" type="list">
      <formula1>"SI,NO"</formula1>
    </dataValidation>
    <dataValidation sqref="X62" showDropDown="0" showInputMessage="0" showErrorMessage="0" allowBlank="1" type="list">
      <formula1>"Sí,No"</formula1>
    </dataValidation>
    <dataValidation sqref="B63" showDropDown="0" showInputMessage="0" showErrorMessage="0" allowBlank="1" type="list">
      <formula1>"CC,TI,CE,RC,PA,MS,AS"</formula1>
    </dataValidation>
    <dataValidation sqref="G63" showDropDown="0" showInputMessage="0" showErrorMessage="0" allowBlank="1" type="list">
      <formula1>"01,02,03,04"</formula1>
    </dataValidation>
    <dataValidation sqref="I63" showDropDown="0" showInputMessage="0" showErrorMessage="0" allowBlank="1" type="list">
      <formula1>"M,F"</formula1>
    </dataValidation>
    <dataValidation sqref="L63" showDropDown="0" showInputMessage="0" showErrorMessage="0" allowBlank="1" type="list">
      <formula1>"01,02"</formula1>
    </dataValidation>
    <dataValidation sqref="M63" showDropDown="0" showInputMessage="0" showErrorMessage="0" allowBlank="1" type="list">
      <formula1>"SI,NO"</formula1>
    </dataValidation>
    <dataValidation sqref="X63" showDropDown="0" showInputMessage="0" showErrorMessage="0" allowBlank="1" type="list">
      <formula1>"Sí,No"</formula1>
    </dataValidation>
    <dataValidation sqref="B64" showDropDown="0" showInputMessage="0" showErrorMessage="0" allowBlank="1" type="list">
      <formula1>"CC,TI,CE,RC,PA,MS,AS"</formula1>
    </dataValidation>
    <dataValidation sqref="G64" showDropDown="0" showInputMessage="0" showErrorMessage="0" allowBlank="1" type="list">
      <formula1>"01,02,03,04"</formula1>
    </dataValidation>
    <dataValidation sqref="I64" showDropDown="0" showInputMessage="0" showErrorMessage="0" allowBlank="1" type="list">
      <formula1>"M,F"</formula1>
    </dataValidation>
    <dataValidation sqref="L64" showDropDown="0" showInputMessage="0" showErrorMessage="0" allowBlank="1" type="list">
      <formula1>"01,02"</formula1>
    </dataValidation>
    <dataValidation sqref="M64" showDropDown="0" showInputMessage="0" showErrorMessage="0" allowBlank="1" type="list">
      <formula1>"SI,NO"</formula1>
    </dataValidation>
    <dataValidation sqref="X64" showDropDown="0" showInputMessage="0" showErrorMessage="0" allowBlank="1" type="list">
      <formula1>"Sí,No"</formula1>
    </dataValidation>
    <dataValidation sqref="B65" showDropDown="0" showInputMessage="0" showErrorMessage="0" allowBlank="1" type="list">
      <formula1>"CC,TI,CE,RC,PA,MS,AS"</formula1>
    </dataValidation>
    <dataValidation sqref="G65" showDropDown="0" showInputMessage="0" showErrorMessage="0" allowBlank="1" type="list">
      <formula1>"01,02,03,04"</formula1>
    </dataValidation>
    <dataValidation sqref="I65" showDropDown="0" showInputMessage="0" showErrorMessage="0" allowBlank="1" type="list">
      <formula1>"M,F"</formula1>
    </dataValidation>
    <dataValidation sqref="L65" showDropDown="0" showInputMessage="0" showErrorMessage="0" allowBlank="1" type="list">
      <formula1>"01,02"</formula1>
    </dataValidation>
    <dataValidation sqref="M65" showDropDown="0" showInputMessage="0" showErrorMessage="0" allowBlank="1" type="list">
      <formula1>"SI,NO"</formula1>
    </dataValidation>
    <dataValidation sqref="X65" showDropDown="0" showInputMessage="0" showErrorMessage="0" allowBlank="1" type="list">
      <formula1>"Sí,No"</formula1>
    </dataValidation>
    <dataValidation sqref="B66" showDropDown="0" showInputMessage="0" showErrorMessage="0" allowBlank="1" type="list">
      <formula1>"CC,TI,CE,RC,PA,MS,AS"</formula1>
    </dataValidation>
    <dataValidation sqref="G66" showDropDown="0" showInputMessage="0" showErrorMessage="0" allowBlank="1" type="list">
      <formula1>"01,02,03,04"</formula1>
    </dataValidation>
    <dataValidation sqref="I66" showDropDown="0" showInputMessage="0" showErrorMessage="0" allowBlank="1" type="list">
      <formula1>"M,F"</formula1>
    </dataValidation>
    <dataValidation sqref="L66" showDropDown="0" showInputMessage="0" showErrorMessage="0" allowBlank="1" type="list">
      <formula1>"01,02"</formula1>
    </dataValidation>
    <dataValidation sqref="M66" showDropDown="0" showInputMessage="0" showErrorMessage="0" allowBlank="1" type="list">
      <formula1>"SI,NO"</formula1>
    </dataValidation>
    <dataValidation sqref="X66" showDropDown="0" showInputMessage="0" showErrorMessage="0" allowBlank="1" type="list">
      <formula1>"Sí,No"</formula1>
    </dataValidation>
    <dataValidation sqref="B67" showDropDown="0" showInputMessage="0" showErrorMessage="0" allowBlank="1" type="list">
      <formula1>"CC,TI,CE,RC,PA,MS,AS"</formula1>
    </dataValidation>
    <dataValidation sqref="G67" showDropDown="0" showInputMessage="0" showErrorMessage="0" allowBlank="1" type="list">
      <formula1>"01,02,03,04"</formula1>
    </dataValidation>
    <dataValidation sqref="I67" showDropDown="0" showInputMessage="0" showErrorMessage="0" allowBlank="1" type="list">
      <formula1>"M,F"</formula1>
    </dataValidation>
    <dataValidation sqref="L67" showDropDown="0" showInputMessage="0" showErrorMessage="0" allowBlank="1" type="list">
      <formula1>"01,02"</formula1>
    </dataValidation>
    <dataValidation sqref="M67" showDropDown="0" showInputMessage="0" showErrorMessage="0" allowBlank="1" type="list">
      <formula1>"SI,NO"</formula1>
    </dataValidation>
    <dataValidation sqref="X67" showDropDown="0" showInputMessage="0" showErrorMessage="0" allowBlank="1" type="list">
      <formula1>"Sí,No"</formula1>
    </dataValidation>
    <dataValidation sqref="B68" showDropDown="0" showInputMessage="0" showErrorMessage="0" allowBlank="1" type="list">
      <formula1>"CC,TI,CE,RC,PA,MS,AS"</formula1>
    </dataValidation>
    <dataValidation sqref="G68" showDropDown="0" showInputMessage="0" showErrorMessage="0" allowBlank="1" type="list">
      <formula1>"01,02,03,04"</formula1>
    </dataValidation>
    <dataValidation sqref="I68" showDropDown="0" showInputMessage="0" showErrorMessage="0" allowBlank="1" type="list">
      <formula1>"M,F"</formula1>
    </dataValidation>
    <dataValidation sqref="L68" showDropDown="0" showInputMessage="0" showErrorMessage="0" allowBlank="1" type="list">
      <formula1>"01,02"</formula1>
    </dataValidation>
    <dataValidation sqref="M68" showDropDown="0" showInputMessage="0" showErrorMessage="0" allowBlank="1" type="list">
      <formula1>"SI,NO"</formula1>
    </dataValidation>
    <dataValidation sqref="X68" showDropDown="0" showInputMessage="0" showErrorMessage="0" allowBlank="1" type="list">
      <formula1>"Sí,No"</formula1>
    </dataValidation>
    <dataValidation sqref="B69" showDropDown="0" showInputMessage="0" showErrorMessage="0" allowBlank="1" type="list">
      <formula1>"CC,TI,CE,RC,PA,MS,AS"</formula1>
    </dataValidation>
    <dataValidation sqref="G69" showDropDown="0" showInputMessage="0" showErrorMessage="0" allowBlank="1" type="list">
      <formula1>"01,02,03,04"</formula1>
    </dataValidation>
    <dataValidation sqref="I69" showDropDown="0" showInputMessage="0" showErrorMessage="0" allowBlank="1" type="list">
      <formula1>"M,F"</formula1>
    </dataValidation>
    <dataValidation sqref="L69" showDropDown="0" showInputMessage="0" showErrorMessage="0" allowBlank="1" type="list">
      <formula1>"01,02"</formula1>
    </dataValidation>
    <dataValidation sqref="M69" showDropDown="0" showInputMessage="0" showErrorMessage="0" allowBlank="1" type="list">
      <formula1>"SI,NO"</formula1>
    </dataValidation>
    <dataValidation sqref="X69" showDropDown="0" showInputMessage="0" showErrorMessage="0" allowBlank="1" type="list">
      <formula1>"Sí,No"</formula1>
    </dataValidation>
    <dataValidation sqref="B70" showDropDown="0" showInputMessage="0" showErrorMessage="0" allowBlank="1" type="list">
      <formula1>"CC,TI,CE,RC,PA,MS,AS"</formula1>
    </dataValidation>
    <dataValidation sqref="G70" showDropDown="0" showInputMessage="0" showErrorMessage="0" allowBlank="1" type="list">
      <formula1>"01,02,03,04"</formula1>
    </dataValidation>
    <dataValidation sqref="I70" showDropDown="0" showInputMessage="0" showErrorMessage="0" allowBlank="1" type="list">
      <formula1>"M,F"</formula1>
    </dataValidation>
    <dataValidation sqref="L70" showDropDown="0" showInputMessage="0" showErrorMessage="0" allowBlank="1" type="list">
      <formula1>"01,02"</formula1>
    </dataValidation>
    <dataValidation sqref="M70" showDropDown="0" showInputMessage="0" showErrorMessage="0" allowBlank="1" type="list">
      <formula1>"SI,NO"</formula1>
    </dataValidation>
    <dataValidation sqref="X70" showDropDown="0" showInputMessage="0" showErrorMessage="0" allowBlank="1" type="list">
      <formula1>"Sí,No"</formula1>
    </dataValidation>
    <dataValidation sqref="B71" showDropDown="0" showInputMessage="0" showErrorMessage="0" allowBlank="1" type="list">
      <formula1>"CC,TI,CE,RC,PA,MS,AS"</formula1>
    </dataValidation>
    <dataValidation sqref="G71" showDropDown="0" showInputMessage="0" showErrorMessage="0" allowBlank="1" type="list">
      <formula1>"01,02,03,04"</formula1>
    </dataValidation>
    <dataValidation sqref="I71" showDropDown="0" showInputMessage="0" showErrorMessage="0" allowBlank="1" type="list">
      <formula1>"M,F"</formula1>
    </dataValidation>
    <dataValidation sqref="L71" showDropDown="0" showInputMessage="0" showErrorMessage="0" allowBlank="1" type="list">
      <formula1>"01,02"</formula1>
    </dataValidation>
    <dataValidation sqref="M71" showDropDown="0" showInputMessage="0" showErrorMessage="0" allowBlank="1" type="list">
      <formula1>"SI,NO"</formula1>
    </dataValidation>
    <dataValidation sqref="X71" showDropDown="0" showInputMessage="0" showErrorMessage="0" allowBlank="1" type="list">
      <formula1>"Sí,No"</formula1>
    </dataValidation>
    <dataValidation sqref="B72" showDropDown="0" showInputMessage="0" showErrorMessage="0" allowBlank="1" type="list">
      <formula1>"CC,TI,CE,RC,PA,MS,AS"</formula1>
    </dataValidation>
    <dataValidation sqref="G72" showDropDown="0" showInputMessage="0" showErrorMessage="0" allowBlank="1" type="list">
      <formula1>"01,02,03,04"</formula1>
    </dataValidation>
    <dataValidation sqref="I72" showDropDown="0" showInputMessage="0" showErrorMessage="0" allowBlank="1" type="list">
      <formula1>"M,F"</formula1>
    </dataValidation>
    <dataValidation sqref="L72" showDropDown="0" showInputMessage="0" showErrorMessage="0" allowBlank="1" type="list">
      <formula1>"01,02"</formula1>
    </dataValidation>
    <dataValidation sqref="M72" showDropDown="0" showInputMessage="0" showErrorMessage="0" allowBlank="1" type="list">
      <formula1>"SI,NO"</formula1>
    </dataValidation>
    <dataValidation sqref="X72" showDropDown="0" showInputMessage="0" showErrorMessage="0" allowBlank="1" type="list">
      <formula1>"Sí,No"</formula1>
    </dataValidation>
    <dataValidation sqref="B73" showDropDown="0" showInputMessage="0" showErrorMessage="0" allowBlank="1" type="list">
      <formula1>"CC,TI,CE,RC,PA,MS,AS"</formula1>
    </dataValidation>
    <dataValidation sqref="G73" showDropDown="0" showInputMessage="0" showErrorMessage="0" allowBlank="1" type="list">
      <formula1>"01,02,03,04"</formula1>
    </dataValidation>
    <dataValidation sqref="I73" showDropDown="0" showInputMessage="0" showErrorMessage="0" allowBlank="1" type="list">
      <formula1>"M,F"</formula1>
    </dataValidation>
    <dataValidation sqref="L73" showDropDown="0" showInputMessage="0" showErrorMessage="0" allowBlank="1" type="list">
      <formula1>"01,02"</formula1>
    </dataValidation>
    <dataValidation sqref="M73" showDropDown="0" showInputMessage="0" showErrorMessage="0" allowBlank="1" type="list">
      <formula1>"SI,NO"</formula1>
    </dataValidation>
    <dataValidation sqref="X73" showDropDown="0" showInputMessage="0" showErrorMessage="0" allowBlank="1" type="list">
      <formula1>"Sí,No"</formula1>
    </dataValidation>
    <dataValidation sqref="B74" showDropDown="0" showInputMessage="0" showErrorMessage="0" allowBlank="1" type="list">
      <formula1>"CC,TI,CE,RC,PA,MS,AS"</formula1>
    </dataValidation>
    <dataValidation sqref="G74" showDropDown="0" showInputMessage="0" showErrorMessage="0" allowBlank="1" type="list">
      <formula1>"01,02,03,04"</formula1>
    </dataValidation>
    <dataValidation sqref="I74" showDropDown="0" showInputMessage="0" showErrorMessage="0" allowBlank="1" type="list">
      <formula1>"M,F"</formula1>
    </dataValidation>
    <dataValidation sqref="L74" showDropDown="0" showInputMessage="0" showErrorMessage="0" allowBlank="1" type="list">
      <formula1>"01,02"</formula1>
    </dataValidation>
    <dataValidation sqref="M74" showDropDown="0" showInputMessage="0" showErrorMessage="0" allowBlank="1" type="list">
      <formula1>"SI,NO"</formula1>
    </dataValidation>
    <dataValidation sqref="X74" showDropDown="0" showInputMessage="0" showErrorMessage="0" allowBlank="1" type="list">
      <formula1>"Sí,No"</formula1>
    </dataValidation>
    <dataValidation sqref="B75" showDropDown="0" showInputMessage="0" showErrorMessage="0" allowBlank="1" type="list">
      <formula1>"CC,TI,CE,RC,PA,MS,AS"</formula1>
    </dataValidation>
    <dataValidation sqref="G75" showDropDown="0" showInputMessage="0" showErrorMessage="0" allowBlank="1" type="list">
      <formula1>"01,02,03,04"</formula1>
    </dataValidation>
    <dataValidation sqref="I75" showDropDown="0" showInputMessage="0" showErrorMessage="0" allowBlank="1" type="list">
      <formula1>"M,F"</formula1>
    </dataValidation>
    <dataValidation sqref="L75" showDropDown="0" showInputMessage="0" showErrorMessage="0" allowBlank="1" type="list">
      <formula1>"01,02"</formula1>
    </dataValidation>
    <dataValidation sqref="M75" showDropDown="0" showInputMessage="0" showErrorMessage="0" allowBlank="1" type="list">
      <formula1>"SI,NO"</formula1>
    </dataValidation>
    <dataValidation sqref="X75" showDropDown="0" showInputMessage="0" showErrorMessage="0" allowBlank="1" type="list">
      <formula1>"Sí,No"</formula1>
    </dataValidation>
    <dataValidation sqref="B76" showDropDown="0" showInputMessage="0" showErrorMessage="0" allowBlank="1" type="list">
      <formula1>"CC,TI,CE,RC,PA,MS,AS"</formula1>
    </dataValidation>
    <dataValidation sqref="G76" showDropDown="0" showInputMessage="0" showErrorMessage="0" allowBlank="1" type="list">
      <formula1>"01,02,03,04"</formula1>
    </dataValidation>
    <dataValidation sqref="I76" showDropDown="0" showInputMessage="0" showErrorMessage="0" allowBlank="1" type="list">
      <formula1>"M,F"</formula1>
    </dataValidation>
    <dataValidation sqref="L76" showDropDown="0" showInputMessage="0" showErrorMessage="0" allowBlank="1" type="list">
      <formula1>"01,02"</formula1>
    </dataValidation>
    <dataValidation sqref="M76" showDropDown="0" showInputMessage="0" showErrorMessage="0" allowBlank="1" type="list">
      <formula1>"SI,NO"</formula1>
    </dataValidation>
    <dataValidation sqref="X76" showDropDown="0" showInputMessage="0" showErrorMessage="0" allowBlank="1" type="list">
      <formula1>"Sí,No"</formula1>
    </dataValidation>
    <dataValidation sqref="B77" showDropDown="0" showInputMessage="0" showErrorMessage="0" allowBlank="1" type="list">
      <formula1>"CC,TI,CE,RC,PA,MS,AS"</formula1>
    </dataValidation>
    <dataValidation sqref="G77" showDropDown="0" showInputMessage="0" showErrorMessage="0" allowBlank="1" type="list">
      <formula1>"01,02,03,04"</formula1>
    </dataValidation>
    <dataValidation sqref="I77" showDropDown="0" showInputMessage="0" showErrorMessage="0" allowBlank="1" type="list">
      <formula1>"M,F"</formula1>
    </dataValidation>
    <dataValidation sqref="L77" showDropDown="0" showInputMessage="0" showErrorMessage="0" allowBlank="1" type="list">
      <formula1>"01,02"</formula1>
    </dataValidation>
    <dataValidation sqref="M77" showDropDown="0" showInputMessage="0" showErrorMessage="0" allowBlank="1" type="list">
      <formula1>"SI,NO"</formula1>
    </dataValidation>
    <dataValidation sqref="X77" showDropDown="0" showInputMessage="0" showErrorMessage="0" allowBlank="1" type="list">
      <formula1>"Sí,No"</formula1>
    </dataValidation>
    <dataValidation sqref="B78" showDropDown="0" showInputMessage="0" showErrorMessage="0" allowBlank="1" type="list">
      <formula1>"CC,TI,CE,RC,PA,MS,AS"</formula1>
    </dataValidation>
    <dataValidation sqref="G78" showDropDown="0" showInputMessage="0" showErrorMessage="0" allowBlank="1" type="list">
      <formula1>"01,02,03,04"</formula1>
    </dataValidation>
    <dataValidation sqref="I78" showDropDown="0" showInputMessage="0" showErrorMessage="0" allowBlank="1" type="list">
      <formula1>"M,F"</formula1>
    </dataValidation>
    <dataValidation sqref="L78" showDropDown="0" showInputMessage="0" showErrorMessage="0" allowBlank="1" type="list">
      <formula1>"01,02"</formula1>
    </dataValidation>
    <dataValidation sqref="M78" showDropDown="0" showInputMessage="0" showErrorMessage="0" allowBlank="1" type="list">
      <formula1>"SI,NO"</formula1>
    </dataValidation>
    <dataValidation sqref="X78" showDropDown="0" showInputMessage="0" showErrorMessage="0" allowBlank="1" type="list">
      <formula1>"Sí,No"</formula1>
    </dataValidation>
    <dataValidation sqref="B79" showDropDown="0" showInputMessage="0" showErrorMessage="0" allowBlank="1" type="list">
      <formula1>"CC,TI,CE,RC,PA,MS,AS"</formula1>
    </dataValidation>
    <dataValidation sqref="G79" showDropDown="0" showInputMessage="0" showErrorMessage="0" allowBlank="1" type="list">
      <formula1>"01,02,03,04"</formula1>
    </dataValidation>
    <dataValidation sqref="I79" showDropDown="0" showInputMessage="0" showErrorMessage="0" allowBlank="1" type="list">
      <formula1>"M,F"</formula1>
    </dataValidation>
    <dataValidation sqref="L79" showDropDown="0" showInputMessage="0" showErrorMessage="0" allowBlank="1" type="list">
      <formula1>"01,02"</formula1>
    </dataValidation>
    <dataValidation sqref="M79" showDropDown="0" showInputMessage="0" showErrorMessage="0" allowBlank="1" type="list">
      <formula1>"SI,NO"</formula1>
    </dataValidation>
    <dataValidation sqref="X79" showDropDown="0" showInputMessage="0" showErrorMessage="0" allowBlank="1" type="list">
      <formula1>"Sí,No"</formula1>
    </dataValidation>
    <dataValidation sqref="B80" showDropDown="0" showInputMessage="0" showErrorMessage="0" allowBlank="1" type="list">
      <formula1>"CC,TI,CE,RC,PA,MS,AS"</formula1>
    </dataValidation>
    <dataValidation sqref="G80" showDropDown="0" showInputMessage="0" showErrorMessage="0" allowBlank="1" type="list">
      <formula1>"01,02,03,04"</formula1>
    </dataValidation>
    <dataValidation sqref="I80" showDropDown="0" showInputMessage="0" showErrorMessage="0" allowBlank="1" type="list">
      <formula1>"M,F"</formula1>
    </dataValidation>
    <dataValidation sqref="L80" showDropDown="0" showInputMessage="0" showErrorMessage="0" allowBlank="1" type="list">
      <formula1>"01,02"</formula1>
    </dataValidation>
    <dataValidation sqref="M80" showDropDown="0" showInputMessage="0" showErrorMessage="0" allowBlank="1" type="list">
      <formula1>"SI,NO"</formula1>
    </dataValidation>
    <dataValidation sqref="X80" showDropDown="0" showInputMessage="0" showErrorMessage="0" allowBlank="1" type="list">
      <formula1>"Sí,No"</formula1>
    </dataValidation>
    <dataValidation sqref="B81" showDropDown="0" showInputMessage="0" showErrorMessage="0" allowBlank="1" type="list">
      <formula1>"CC,TI,CE,RC,PA,MS,AS"</formula1>
    </dataValidation>
    <dataValidation sqref="G81" showDropDown="0" showInputMessage="0" showErrorMessage="0" allowBlank="1" type="list">
      <formula1>"01,02,03,04"</formula1>
    </dataValidation>
    <dataValidation sqref="I81" showDropDown="0" showInputMessage="0" showErrorMessage="0" allowBlank="1" type="list">
      <formula1>"M,F"</formula1>
    </dataValidation>
    <dataValidation sqref="L81" showDropDown="0" showInputMessage="0" showErrorMessage="0" allowBlank="1" type="list">
      <formula1>"01,02"</formula1>
    </dataValidation>
    <dataValidation sqref="M81" showDropDown="0" showInputMessage="0" showErrorMessage="0" allowBlank="1" type="list">
      <formula1>"SI,NO"</formula1>
    </dataValidation>
    <dataValidation sqref="X81" showDropDown="0" showInputMessage="0" showErrorMessage="0" allowBlank="1" type="list">
      <formula1>"Sí,No"</formula1>
    </dataValidation>
    <dataValidation sqref="B82" showDropDown="0" showInputMessage="0" showErrorMessage="0" allowBlank="1" type="list">
      <formula1>"CC,TI,CE,RC,PA,MS,AS"</formula1>
    </dataValidation>
    <dataValidation sqref="G82" showDropDown="0" showInputMessage="0" showErrorMessage="0" allowBlank="1" type="list">
      <formula1>"01,02,03,04"</formula1>
    </dataValidation>
    <dataValidation sqref="I82" showDropDown="0" showInputMessage="0" showErrorMessage="0" allowBlank="1" type="list">
      <formula1>"M,F"</formula1>
    </dataValidation>
    <dataValidation sqref="L82" showDropDown="0" showInputMessage="0" showErrorMessage="0" allowBlank="1" type="list">
      <formula1>"01,02"</formula1>
    </dataValidation>
    <dataValidation sqref="M82" showDropDown="0" showInputMessage="0" showErrorMessage="0" allowBlank="1" type="list">
      <formula1>"SI,NO"</formula1>
    </dataValidation>
    <dataValidation sqref="X82" showDropDown="0" showInputMessage="0" showErrorMessage="0" allowBlank="1" type="list">
      <formula1>"Sí,No"</formula1>
    </dataValidation>
    <dataValidation sqref="B83" showDropDown="0" showInputMessage="0" showErrorMessage="0" allowBlank="1" type="list">
      <formula1>"CC,TI,CE,RC,PA,MS,AS"</formula1>
    </dataValidation>
    <dataValidation sqref="G83" showDropDown="0" showInputMessage="0" showErrorMessage="0" allowBlank="1" type="list">
      <formula1>"01,02,03,04"</formula1>
    </dataValidation>
    <dataValidation sqref="I83" showDropDown="0" showInputMessage="0" showErrorMessage="0" allowBlank="1" type="list">
      <formula1>"M,F"</formula1>
    </dataValidation>
    <dataValidation sqref="L83" showDropDown="0" showInputMessage="0" showErrorMessage="0" allowBlank="1" type="list">
      <formula1>"01,02"</formula1>
    </dataValidation>
    <dataValidation sqref="M83" showDropDown="0" showInputMessage="0" showErrorMessage="0" allowBlank="1" type="list">
      <formula1>"SI,NO"</formula1>
    </dataValidation>
    <dataValidation sqref="X83" showDropDown="0" showInputMessage="0" showErrorMessage="0" allowBlank="1" type="list">
      <formula1>"Sí,No"</formula1>
    </dataValidation>
    <dataValidation sqref="B84" showDropDown="0" showInputMessage="0" showErrorMessage="0" allowBlank="1" type="list">
      <formula1>"CC,TI,CE,RC,PA,MS,AS"</formula1>
    </dataValidation>
    <dataValidation sqref="G84" showDropDown="0" showInputMessage="0" showErrorMessage="0" allowBlank="1" type="list">
      <formula1>"01,02,03,04"</formula1>
    </dataValidation>
    <dataValidation sqref="I84" showDropDown="0" showInputMessage="0" showErrorMessage="0" allowBlank="1" type="list">
      <formula1>"M,F"</formula1>
    </dataValidation>
    <dataValidation sqref="L84" showDropDown="0" showInputMessage="0" showErrorMessage="0" allowBlank="1" type="list">
      <formula1>"01,02"</formula1>
    </dataValidation>
    <dataValidation sqref="M84" showDropDown="0" showInputMessage="0" showErrorMessage="0" allowBlank="1" type="list">
      <formula1>"SI,NO"</formula1>
    </dataValidation>
    <dataValidation sqref="X84" showDropDown="0" showInputMessage="0" showErrorMessage="0" allowBlank="1" type="list">
      <formula1>"Sí,No"</formula1>
    </dataValidation>
    <dataValidation sqref="B85" showDropDown="0" showInputMessage="0" showErrorMessage="0" allowBlank="1" type="list">
      <formula1>"CC,TI,CE,RC,PA,MS,AS"</formula1>
    </dataValidation>
    <dataValidation sqref="G85" showDropDown="0" showInputMessage="0" showErrorMessage="0" allowBlank="1" type="list">
      <formula1>"01,02,03,04"</formula1>
    </dataValidation>
    <dataValidation sqref="I85" showDropDown="0" showInputMessage="0" showErrorMessage="0" allowBlank="1" type="list">
      <formula1>"M,F"</formula1>
    </dataValidation>
    <dataValidation sqref="L85" showDropDown="0" showInputMessage="0" showErrorMessage="0" allowBlank="1" type="list">
      <formula1>"01,02"</formula1>
    </dataValidation>
    <dataValidation sqref="M85" showDropDown="0" showInputMessage="0" showErrorMessage="0" allowBlank="1" type="list">
      <formula1>"SI,NO"</formula1>
    </dataValidation>
    <dataValidation sqref="X85" showDropDown="0" showInputMessage="0" showErrorMessage="0" allowBlank="1" type="list">
      <formula1>"Sí,No"</formula1>
    </dataValidation>
    <dataValidation sqref="B86" showDropDown="0" showInputMessage="0" showErrorMessage="0" allowBlank="1" type="list">
      <formula1>"CC,TI,CE,RC,PA,MS,AS"</formula1>
    </dataValidation>
    <dataValidation sqref="G86" showDropDown="0" showInputMessage="0" showErrorMessage="0" allowBlank="1" type="list">
      <formula1>"01,02,03,04"</formula1>
    </dataValidation>
    <dataValidation sqref="I86" showDropDown="0" showInputMessage="0" showErrorMessage="0" allowBlank="1" type="list">
      <formula1>"M,F"</formula1>
    </dataValidation>
    <dataValidation sqref="L86" showDropDown="0" showInputMessage="0" showErrorMessage="0" allowBlank="1" type="list">
      <formula1>"01,02"</formula1>
    </dataValidation>
    <dataValidation sqref="M86" showDropDown="0" showInputMessage="0" showErrorMessage="0" allowBlank="1" type="list">
      <formula1>"SI,NO"</formula1>
    </dataValidation>
    <dataValidation sqref="X86" showDropDown="0" showInputMessage="0" showErrorMessage="0" allowBlank="1" type="list">
      <formula1>"Sí,No"</formula1>
    </dataValidation>
    <dataValidation sqref="B87" showDropDown="0" showInputMessage="0" showErrorMessage="0" allowBlank="1" type="list">
      <formula1>"CC,TI,CE,RC,PA,MS,AS"</formula1>
    </dataValidation>
    <dataValidation sqref="G87" showDropDown="0" showInputMessage="0" showErrorMessage="0" allowBlank="1" type="list">
      <formula1>"01,02,03,04"</formula1>
    </dataValidation>
    <dataValidation sqref="I87" showDropDown="0" showInputMessage="0" showErrorMessage="0" allowBlank="1" type="list">
      <formula1>"M,F"</formula1>
    </dataValidation>
    <dataValidation sqref="L87" showDropDown="0" showInputMessage="0" showErrorMessage="0" allowBlank="1" type="list">
      <formula1>"01,02"</formula1>
    </dataValidation>
    <dataValidation sqref="M87" showDropDown="0" showInputMessage="0" showErrorMessage="0" allowBlank="1" type="list">
      <formula1>"SI,NO"</formula1>
    </dataValidation>
    <dataValidation sqref="X87" showDropDown="0" showInputMessage="0" showErrorMessage="0" allowBlank="1" type="list">
      <formula1>"Sí,No"</formula1>
    </dataValidation>
    <dataValidation sqref="B88" showDropDown="0" showInputMessage="0" showErrorMessage="0" allowBlank="1" type="list">
      <formula1>"CC,TI,CE,RC,PA,MS,AS"</formula1>
    </dataValidation>
    <dataValidation sqref="G88" showDropDown="0" showInputMessage="0" showErrorMessage="0" allowBlank="1" type="list">
      <formula1>"01,02,03,04"</formula1>
    </dataValidation>
    <dataValidation sqref="I88" showDropDown="0" showInputMessage="0" showErrorMessage="0" allowBlank="1" type="list">
      <formula1>"M,F"</formula1>
    </dataValidation>
    <dataValidation sqref="L88" showDropDown="0" showInputMessage="0" showErrorMessage="0" allowBlank="1" type="list">
      <formula1>"01,02"</formula1>
    </dataValidation>
    <dataValidation sqref="M88" showDropDown="0" showInputMessage="0" showErrorMessage="0" allowBlank="1" type="list">
      <formula1>"SI,NO"</formula1>
    </dataValidation>
    <dataValidation sqref="X88" showDropDown="0" showInputMessage="0" showErrorMessage="0" allowBlank="1" type="list">
      <formula1>"Sí,No"</formula1>
    </dataValidation>
    <dataValidation sqref="B89" showDropDown="0" showInputMessage="0" showErrorMessage="0" allowBlank="1" type="list">
      <formula1>"CC,TI,CE,RC,PA,MS,AS"</formula1>
    </dataValidation>
    <dataValidation sqref="G89" showDropDown="0" showInputMessage="0" showErrorMessage="0" allowBlank="1" type="list">
      <formula1>"01,02,03,04"</formula1>
    </dataValidation>
    <dataValidation sqref="I89" showDropDown="0" showInputMessage="0" showErrorMessage="0" allowBlank="1" type="list">
      <formula1>"M,F"</formula1>
    </dataValidation>
    <dataValidation sqref="L89" showDropDown="0" showInputMessage="0" showErrorMessage="0" allowBlank="1" type="list">
      <formula1>"01,02"</formula1>
    </dataValidation>
    <dataValidation sqref="M89" showDropDown="0" showInputMessage="0" showErrorMessage="0" allowBlank="1" type="list">
      <formula1>"SI,NO"</formula1>
    </dataValidation>
    <dataValidation sqref="X89" showDropDown="0" showInputMessage="0" showErrorMessage="0" allowBlank="1" type="list">
      <formula1>"Sí,No"</formula1>
    </dataValidation>
    <dataValidation sqref="B90" showDropDown="0" showInputMessage="0" showErrorMessage="0" allowBlank="1" type="list">
      <formula1>"CC,TI,CE,RC,PA,MS,AS"</formula1>
    </dataValidation>
    <dataValidation sqref="G90" showDropDown="0" showInputMessage="0" showErrorMessage="0" allowBlank="1" type="list">
      <formula1>"01,02,03,04"</formula1>
    </dataValidation>
    <dataValidation sqref="I90" showDropDown="0" showInputMessage="0" showErrorMessage="0" allowBlank="1" type="list">
      <formula1>"M,F"</formula1>
    </dataValidation>
    <dataValidation sqref="L90" showDropDown="0" showInputMessage="0" showErrorMessage="0" allowBlank="1" type="list">
      <formula1>"01,02"</formula1>
    </dataValidation>
    <dataValidation sqref="M90" showDropDown="0" showInputMessage="0" showErrorMessage="0" allowBlank="1" type="list">
      <formula1>"SI,NO"</formula1>
    </dataValidation>
    <dataValidation sqref="X90" showDropDown="0" showInputMessage="0" showErrorMessage="0" allowBlank="1" type="list">
      <formula1>"Sí,No"</formula1>
    </dataValidation>
    <dataValidation sqref="B91" showDropDown="0" showInputMessage="0" showErrorMessage="0" allowBlank="1" type="list">
      <formula1>"CC,TI,CE,RC,PA,MS,AS"</formula1>
    </dataValidation>
    <dataValidation sqref="G91" showDropDown="0" showInputMessage="0" showErrorMessage="0" allowBlank="1" type="list">
      <formula1>"01,02,03,04"</formula1>
    </dataValidation>
    <dataValidation sqref="I91" showDropDown="0" showInputMessage="0" showErrorMessage="0" allowBlank="1" type="list">
      <formula1>"M,F"</formula1>
    </dataValidation>
    <dataValidation sqref="L91" showDropDown="0" showInputMessage="0" showErrorMessage="0" allowBlank="1" type="list">
      <formula1>"01,02"</formula1>
    </dataValidation>
    <dataValidation sqref="M91" showDropDown="0" showInputMessage="0" showErrorMessage="0" allowBlank="1" type="list">
      <formula1>"SI,NO"</formula1>
    </dataValidation>
    <dataValidation sqref="X91" showDropDown="0" showInputMessage="0" showErrorMessage="0" allowBlank="1" type="list">
      <formula1>"Sí,No"</formula1>
    </dataValidation>
    <dataValidation sqref="B92" showDropDown="0" showInputMessage="0" showErrorMessage="0" allowBlank="1" type="list">
      <formula1>"CC,TI,CE,RC,PA,MS,AS"</formula1>
    </dataValidation>
    <dataValidation sqref="G92" showDropDown="0" showInputMessage="0" showErrorMessage="0" allowBlank="1" type="list">
      <formula1>"01,02,03,04"</formula1>
    </dataValidation>
    <dataValidation sqref="I92" showDropDown="0" showInputMessage="0" showErrorMessage="0" allowBlank="1" type="list">
      <formula1>"M,F"</formula1>
    </dataValidation>
    <dataValidation sqref="L92" showDropDown="0" showInputMessage="0" showErrorMessage="0" allowBlank="1" type="list">
      <formula1>"01,02"</formula1>
    </dataValidation>
    <dataValidation sqref="M92" showDropDown="0" showInputMessage="0" showErrorMessage="0" allowBlank="1" type="list">
      <formula1>"SI,NO"</formula1>
    </dataValidation>
    <dataValidation sqref="X92" showDropDown="0" showInputMessage="0" showErrorMessage="0" allowBlank="1" type="list">
      <formula1>"Sí,No"</formula1>
    </dataValidation>
    <dataValidation sqref="B93" showDropDown="0" showInputMessage="0" showErrorMessage="0" allowBlank="1" type="list">
      <formula1>"CC,TI,CE,RC,PA,MS,AS"</formula1>
    </dataValidation>
    <dataValidation sqref="G93" showDropDown="0" showInputMessage="0" showErrorMessage="0" allowBlank="1" type="list">
      <formula1>"01,02,03,04"</formula1>
    </dataValidation>
    <dataValidation sqref="I93" showDropDown="0" showInputMessage="0" showErrorMessage="0" allowBlank="1" type="list">
      <formula1>"M,F"</formula1>
    </dataValidation>
    <dataValidation sqref="L93" showDropDown="0" showInputMessage="0" showErrorMessage="0" allowBlank="1" type="list">
      <formula1>"01,02"</formula1>
    </dataValidation>
    <dataValidation sqref="M93" showDropDown="0" showInputMessage="0" showErrorMessage="0" allowBlank="1" type="list">
      <formula1>"SI,NO"</formula1>
    </dataValidation>
    <dataValidation sqref="X93" showDropDown="0" showInputMessage="0" showErrorMessage="0" allowBlank="1" type="list">
      <formula1>"Sí,No"</formula1>
    </dataValidation>
    <dataValidation sqref="B94" showDropDown="0" showInputMessage="0" showErrorMessage="0" allowBlank="1" type="list">
      <formula1>"CC,TI,CE,RC,PA,MS,AS"</formula1>
    </dataValidation>
    <dataValidation sqref="G94" showDropDown="0" showInputMessage="0" showErrorMessage="0" allowBlank="1" type="list">
      <formula1>"01,02,03,04"</formula1>
    </dataValidation>
    <dataValidation sqref="I94" showDropDown="0" showInputMessage="0" showErrorMessage="0" allowBlank="1" type="list">
      <formula1>"M,F"</formula1>
    </dataValidation>
    <dataValidation sqref="L94" showDropDown="0" showInputMessage="0" showErrorMessage="0" allowBlank="1" type="list">
      <formula1>"01,02"</formula1>
    </dataValidation>
    <dataValidation sqref="M94" showDropDown="0" showInputMessage="0" showErrorMessage="0" allowBlank="1" type="list">
      <formula1>"SI,NO"</formula1>
    </dataValidation>
    <dataValidation sqref="X94" showDropDown="0" showInputMessage="0" showErrorMessage="0" allowBlank="1" type="list">
      <formula1>"Sí,No"</formula1>
    </dataValidation>
    <dataValidation sqref="B95" showDropDown="0" showInputMessage="0" showErrorMessage="0" allowBlank="1" type="list">
      <formula1>"CC,TI,CE,RC,PA,MS,AS"</formula1>
    </dataValidation>
    <dataValidation sqref="G95" showDropDown="0" showInputMessage="0" showErrorMessage="0" allowBlank="1" type="list">
      <formula1>"01,02,03,04"</formula1>
    </dataValidation>
    <dataValidation sqref="I95" showDropDown="0" showInputMessage="0" showErrorMessage="0" allowBlank="1" type="list">
      <formula1>"M,F"</formula1>
    </dataValidation>
    <dataValidation sqref="L95" showDropDown="0" showInputMessage="0" showErrorMessage="0" allowBlank="1" type="list">
      <formula1>"01,02"</formula1>
    </dataValidation>
    <dataValidation sqref="M95" showDropDown="0" showInputMessage="0" showErrorMessage="0" allowBlank="1" type="list">
      <formula1>"SI,NO"</formula1>
    </dataValidation>
    <dataValidation sqref="X95" showDropDown="0" showInputMessage="0" showErrorMessage="0" allowBlank="1" type="list">
      <formula1>"Sí,No"</formula1>
    </dataValidation>
    <dataValidation sqref="B96" showDropDown="0" showInputMessage="0" showErrorMessage="0" allowBlank="1" type="list">
      <formula1>"CC,TI,CE,RC,PA,MS,AS"</formula1>
    </dataValidation>
    <dataValidation sqref="G96" showDropDown="0" showInputMessage="0" showErrorMessage="0" allowBlank="1" type="list">
      <formula1>"01,02,03,04"</formula1>
    </dataValidation>
    <dataValidation sqref="I96" showDropDown="0" showInputMessage="0" showErrorMessage="0" allowBlank="1" type="list">
      <formula1>"M,F"</formula1>
    </dataValidation>
    <dataValidation sqref="L96" showDropDown="0" showInputMessage="0" showErrorMessage="0" allowBlank="1" type="list">
      <formula1>"01,02"</formula1>
    </dataValidation>
    <dataValidation sqref="M96" showDropDown="0" showInputMessage="0" showErrorMessage="0" allowBlank="1" type="list">
      <formula1>"SI,NO"</formula1>
    </dataValidation>
    <dataValidation sqref="X96" showDropDown="0" showInputMessage="0" showErrorMessage="0" allowBlank="1" type="list">
      <formula1>"Sí,No"</formula1>
    </dataValidation>
    <dataValidation sqref="B97" showDropDown="0" showInputMessage="0" showErrorMessage="0" allowBlank="1" type="list">
      <formula1>"CC,TI,CE,RC,PA,MS,AS"</formula1>
    </dataValidation>
    <dataValidation sqref="G97" showDropDown="0" showInputMessage="0" showErrorMessage="0" allowBlank="1" type="list">
      <formula1>"01,02,03,04"</formula1>
    </dataValidation>
    <dataValidation sqref="I97" showDropDown="0" showInputMessage="0" showErrorMessage="0" allowBlank="1" type="list">
      <formula1>"M,F"</formula1>
    </dataValidation>
    <dataValidation sqref="L97" showDropDown="0" showInputMessage="0" showErrorMessage="0" allowBlank="1" type="list">
      <formula1>"01,02"</formula1>
    </dataValidation>
    <dataValidation sqref="M97" showDropDown="0" showInputMessage="0" showErrorMessage="0" allowBlank="1" type="list">
      <formula1>"SI,NO"</formula1>
    </dataValidation>
    <dataValidation sqref="X97" showDropDown="0" showInputMessage="0" showErrorMessage="0" allowBlank="1" type="list">
      <formula1>"Sí,No"</formula1>
    </dataValidation>
    <dataValidation sqref="B98" showDropDown="0" showInputMessage="0" showErrorMessage="0" allowBlank="1" type="list">
      <formula1>"CC,TI,CE,RC,PA,MS,AS"</formula1>
    </dataValidation>
    <dataValidation sqref="G98" showDropDown="0" showInputMessage="0" showErrorMessage="0" allowBlank="1" type="list">
      <formula1>"01,02,03,04"</formula1>
    </dataValidation>
    <dataValidation sqref="I98" showDropDown="0" showInputMessage="0" showErrorMessage="0" allowBlank="1" type="list">
      <formula1>"M,F"</formula1>
    </dataValidation>
    <dataValidation sqref="L98" showDropDown="0" showInputMessage="0" showErrorMessage="0" allowBlank="1" type="list">
      <formula1>"01,02"</formula1>
    </dataValidation>
    <dataValidation sqref="M98" showDropDown="0" showInputMessage="0" showErrorMessage="0" allowBlank="1" type="list">
      <formula1>"SI,NO"</formula1>
    </dataValidation>
    <dataValidation sqref="X98" showDropDown="0" showInputMessage="0" showErrorMessage="0" allowBlank="1" type="list">
      <formula1>"Sí,No"</formula1>
    </dataValidation>
    <dataValidation sqref="B99" showDropDown="0" showInputMessage="0" showErrorMessage="0" allowBlank="1" type="list">
      <formula1>"CC,TI,CE,RC,PA,MS,AS"</formula1>
    </dataValidation>
    <dataValidation sqref="G99" showDropDown="0" showInputMessage="0" showErrorMessage="0" allowBlank="1" type="list">
      <formula1>"01,02,03,04"</formula1>
    </dataValidation>
    <dataValidation sqref="I99" showDropDown="0" showInputMessage="0" showErrorMessage="0" allowBlank="1" type="list">
      <formula1>"M,F"</formula1>
    </dataValidation>
    <dataValidation sqref="L99" showDropDown="0" showInputMessage="0" showErrorMessage="0" allowBlank="1" type="list">
      <formula1>"01,02"</formula1>
    </dataValidation>
    <dataValidation sqref="M99" showDropDown="0" showInputMessage="0" showErrorMessage="0" allowBlank="1" type="list">
      <formula1>"SI,NO"</formula1>
    </dataValidation>
    <dataValidation sqref="X99" showDropDown="0" showInputMessage="0" showErrorMessage="0" allowBlank="1" type="list">
      <formula1>"Sí,No"</formula1>
    </dataValidation>
    <dataValidation sqref="B100" showDropDown="0" showInputMessage="0" showErrorMessage="0" allowBlank="1" type="list">
      <formula1>"CC,TI,CE,RC,PA,MS,AS"</formula1>
    </dataValidation>
    <dataValidation sqref="G100" showDropDown="0" showInputMessage="0" showErrorMessage="0" allowBlank="1" type="list">
      <formula1>"01,02,03,04"</formula1>
    </dataValidation>
    <dataValidation sqref="I100" showDropDown="0" showInputMessage="0" showErrorMessage="0" allowBlank="1" type="list">
      <formula1>"M,F"</formula1>
    </dataValidation>
    <dataValidation sqref="L100" showDropDown="0" showInputMessage="0" showErrorMessage="0" allowBlank="1" type="list">
      <formula1>"01,02"</formula1>
    </dataValidation>
    <dataValidation sqref="M100" showDropDown="0" showInputMessage="0" showErrorMessage="0" allowBlank="1" type="list">
      <formula1>"SI,NO"</formula1>
    </dataValidation>
    <dataValidation sqref="X100" showDropDown="0" showInputMessage="0" showErrorMessage="0" allowBlank="1" type="list">
      <formula1>"Sí,No"</formula1>
    </dataValidation>
    <dataValidation sqref="B101" showDropDown="0" showInputMessage="0" showErrorMessage="0" allowBlank="1" type="list">
      <formula1>"CC,TI,CE,RC,PA,MS,AS"</formula1>
    </dataValidation>
    <dataValidation sqref="G101" showDropDown="0" showInputMessage="0" showErrorMessage="0" allowBlank="1" type="list">
      <formula1>"01,02,03,04"</formula1>
    </dataValidation>
    <dataValidation sqref="I101" showDropDown="0" showInputMessage="0" showErrorMessage="0" allowBlank="1" type="list">
      <formula1>"M,F"</formula1>
    </dataValidation>
    <dataValidation sqref="L101" showDropDown="0" showInputMessage="0" showErrorMessage="0" allowBlank="1" type="list">
      <formula1>"01,02"</formula1>
    </dataValidation>
    <dataValidation sqref="M101" showDropDown="0" showInputMessage="0" showErrorMessage="0" allowBlank="1" type="list">
      <formula1>"SI,NO"</formula1>
    </dataValidation>
    <dataValidation sqref="X101" showDropDown="0" showInputMessage="0" showErrorMessage="0" allowBlank="1" type="list">
      <formula1>"Sí,No"</formula1>
    </dataValidation>
    <dataValidation sqref="B102" showDropDown="0" showInputMessage="0" showErrorMessage="0" allowBlank="1" type="list">
      <formula1>"CC,TI,CE,RC,PA,MS,AS"</formula1>
    </dataValidation>
    <dataValidation sqref="G102" showDropDown="0" showInputMessage="0" showErrorMessage="0" allowBlank="1" type="list">
      <formula1>"01,02,03,04"</formula1>
    </dataValidation>
    <dataValidation sqref="I102" showDropDown="0" showInputMessage="0" showErrorMessage="0" allowBlank="1" type="list">
      <formula1>"M,F"</formula1>
    </dataValidation>
    <dataValidation sqref="L102" showDropDown="0" showInputMessage="0" showErrorMessage="0" allowBlank="1" type="list">
      <formula1>"01,02"</formula1>
    </dataValidation>
    <dataValidation sqref="M102" showDropDown="0" showInputMessage="0" showErrorMessage="0" allowBlank="1" type="list">
      <formula1>"SI,NO"</formula1>
    </dataValidation>
    <dataValidation sqref="X102" showDropDown="0" showInputMessage="0" showErrorMessage="0" allowBlank="1" type="list">
      <formula1>"Sí,No"</formula1>
    </dataValidation>
    <dataValidation sqref="B103" showDropDown="0" showInputMessage="0" showErrorMessage="0" allowBlank="1" type="list">
      <formula1>"CC,TI,CE,RC,PA,MS,AS"</formula1>
    </dataValidation>
    <dataValidation sqref="G103" showDropDown="0" showInputMessage="0" showErrorMessage="0" allowBlank="1" type="list">
      <formula1>"01,02,03,04"</formula1>
    </dataValidation>
    <dataValidation sqref="I103" showDropDown="0" showInputMessage="0" showErrorMessage="0" allowBlank="1" type="list">
      <formula1>"M,F"</formula1>
    </dataValidation>
    <dataValidation sqref="L103" showDropDown="0" showInputMessage="0" showErrorMessage="0" allowBlank="1" type="list">
      <formula1>"01,02"</formula1>
    </dataValidation>
    <dataValidation sqref="M103" showDropDown="0" showInputMessage="0" showErrorMessage="0" allowBlank="1" type="list">
      <formula1>"SI,NO"</formula1>
    </dataValidation>
    <dataValidation sqref="X103" showDropDown="0" showInputMessage="0" showErrorMessage="0" allowBlank="1" type="list">
      <formula1>"Sí,No"</formula1>
    </dataValidation>
    <dataValidation sqref="B104" showDropDown="0" showInputMessage="0" showErrorMessage="0" allowBlank="1" type="list">
      <formula1>"CC,TI,CE,RC,PA,MS,AS"</formula1>
    </dataValidation>
    <dataValidation sqref="G104" showDropDown="0" showInputMessage="0" showErrorMessage="0" allowBlank="1" type="list">
      <formula1>"01,02,03,04"</formula1>
    </dataValidation>
    <dataValidation sqref="I104" showDropDown="0" showInputMessage="0" showErrorMessage="0" allowBlank="1" type="list">
      <formula1>"M,F"</formula1>
    </dataValidation>
    <dataValidation sqref="L104" showDropDown="0" showInputMessage="0" showErrorMessage="0" allowBlank="1" type="list">
      <formula1>"01,02"</formula1>
    </dataValidation>
    <dataValidation sqref="M104" showDropDown="0" showInputMessage="0" showErrorMessage="0" allowBlank="1" type="list">
      <formula1>"SI,NO"</formula1>
    </dataValidation>
    <dataValidation sqref="X104" showDropDown="0" showInputMessage="0" showErrorMessage="0" allowBlank="1" type="list">
      <formula1>"Sí,No"</formula1>
    </dataValidation>
    <dataValidation sqref="B105" showDropDown="0" showInputMessage="0" showErrorMessage="0" allowBlank="1" type="list">
      <formula1>"CC,TI,CE,RC,PA,MS,AS"</formula1>
    </dataValidation>
    <dataValidation sqref="G105" showDropDown="0" showInputMessage="0" showErrorMessage="0" allowBlank="1" type="list">
      <formula1>"01,02,03,04"</formula1>
    </dataValidation>
    <dataValidation sqref="I105" showDropDown="0" showInputMessage="0" showErrorMessage="0" allowBlank="1" type="list">
      <formula1>"M,F"</formula1>
    </dataValidation>
    <dataValidation sqref="L105" showDropDown="0" showInputMessage="0" showErrorMessage="0" allowBlank="1" type="list">
      <formula1>"01,02"</formula1>
    </dataValidation>
    <dataValidation sqref="M105" showDropDown="0" showInputMessage="0" showErrorMessage="0" allowBlank="1" type="list">
      <formula1>"SI,NO"</formula1>
    </dataValidation>
    <dataValidation sqref="X105" showDropDown="0" showInputMessage="0" showErrorMessage="0" allowBlank="1" type="list">
      <formula1>"Sí,No"</formula1>
    </dataValidation>
    <dataValidation sqref="B106" showDropDown="0" showInputMessage="0" showErrorMessage="0" allowBlank="1" type="list">
      <formula1>"CC,TI,CE,RC,PA,MS,AS"</formula1>
    </dataValidation>
    <dataValidation sqref="G106" showDropDown="0" showInputMessage="0" showErrorMessage="0" allowBlank="1" type="list">
      <formula1>"01,02,03,04"</formula1>
    </dataValidation>
    <dataValidation sqref="I106" showDropDown="0" showInputMessage="0" showErrorMessage="0" allowBlank="1" type="list">
      <formula1>"M,F"</formula1>
    </dataValidation>
    <dataValidation sqref="L106" showDropDown="0" showInputMessage="0" showErrorMessage="0" allowBlank="1" type="list">
      <formula1>"01,02"</formula1>
    </dataValidation>
    <dataValidation sqref="M106" showDropDown="0" showInputMessage="0" showErrorMessage="0" allowBlank="1" type="list">
      <formula1>"SI,NO"</formula1>
    </dataValidation>
    <dataValidation sqref="X106" showDropDown="0" showInputMessage="0" showErrorMessage="0" allowBlank="1" type="list">
      <formula1>"Sí,No"</formula1>
    </dataValidation>
    <dataValidation sqref="B107" showDropDown="0" showInputMessage="0" showErrorMessage="0" allowBlank="1" type="list">
      <formula1>"CC,TI,CE,RC,PA,MS,AS"</formula1>
    </dataValidation>
    <dataValidation sqref="G107" showDropDown="0" showInputMessage="0" showErrorMessage="0" allowBlank="1" type="list">
      <formula1>"01,02,03,04"</formula1>
    </dataValidation>
    <dataValidation sqref="I107" showDropDown="0" showInputMessage="0" showErrorMessage="0" allowBlank="1" type="list">
      <formula1>"M,F"</formula1>
    </dataValidation>
    <dataValidation sqref="L107" showDropDown="0" showInputMessage="0" showErrorMessage="0" allowBlank="1" type="list">
      <formula1>"01,02"</formula1>
    </dataValidation>
    <dataValidation sqref="M107" showDropDown="0" showInputMessage="0" showErrorMessage="0" allowBlank="1" type="list">
      <formula1>"SI,NO"</formula1>
    </dataValidation>
    <dataValidation sqref="X107" showDropDown="0" showInputMessage="0" showErrorMessage="0" allowBlank="1" type="list">
      <formula1>"Sí,No"</formula1>
    </dataValidation>
    <dataValidation sqref="B108" showDropDown="0" showInputMessage="0" showErrorMessage="0" allowBlank="1" type="list">
      <formula1>"CC,TI,CE,RC,PA,MS,AS"</formula1>
    </dataValidation>
    <dataValidation sqref="G108" showDropDown="0" showInputMessage="0" showErrorMessage="0" allowBlank="1" type="list">
      <formula1>"01,02,03,04"</formula1>
    </dataValidation>
    <dataValidation sqref="I108" showDropDown="0" showInputMessage="0" showErrorMessage="0" allowBlank="1" type="list">
      <formula1>"M,F"</formula1>
    </dataValidation>
    <dataValidation sqref="L108" showDropDown="0" showInputMessage="0" showErrorMessage="0" allowBlank="1" type="list">
      <formula1>"01,02"</formula1>
    </dataValidation>
    <dataValidation sqref="M108" showDropDown="0" showInputMessage="0" showErrorMessage="0" allowBlank="1" type="list">
      <formula1>"SI,NO"</formula1>
    </dataValidation>
    <dataValidation sqref="X108" showDropDown="0" showInputMessage="0" showErrorMessage="0" allowBlank="1" type="list">
      <formula1>"Sí,No"</formula1>
    </dataValidation>
    <dataValidation sqref="B109" showDropDown="0" showInputMessage="0" showErrorMessage="0" allowBlank="1" type="list">
      <formula1>"CC,TI,CE,RC,PA,MS,AS"</formula1>
    </dataValidation>
    <dataValidation sqref="G109" showDropDown="0" showInputMessage="0" showErrorMessage="0" allowBlank="1" type="list">
      <formula1>"01,02,03,04"</formula1>
    </dataValidation>
    <dataValidation sqref="I109" showDropDown="0" showInputMessage="0" showErrorMessage="0" allowBlank="1" type="list">
      <formula1>"M,F"</formula1>
    </dataValidation>
    <dataValidation sqref="L109" showDropDown="0" showInputMessage="0" showErrorMessage="0" allowBlank="1" type="list">
      <formula1>"01,02"</formula1>
    </dataValidation>
    <dataValidation sqref="M109" showDropDown="0" showInputMessage="0" showErrorMessage="0" allowBlank="1" type="list">
      <formula1>"SI,NO"</formula1>
    </dataValidation>
    <dataValidation sqref="X109" showDropDown="0" showInputMessage="0" showErrorMessage="0" allowBlank="1" type="list">
      <formula1>"Sí,No"</formula1>
    </dataValidation>
    <dataValidation sqref="B110" showDropDown="0" showInputMessage="0" showErrorMessage="0" allowBlank="1" type="list">
      <formula1>"CC,TI,CE,RC,PA,MS,AS"</formula1>
    </dataValidation>
    <dataValidation sqref="G110" showDropDown="0" showInputMessage="0" showErrorMessage="0" allowBlank="1" type="list">
      <formula1>"01,02,03,04"</formula1>
    </dataValidation>
    <dataValidation sqref="I110" showDropDown="0" showInputMessage="0" showErrorMessage="0" allowBlank="1" type="list">
      <formula1>"M,F"</formula1>
    </dataValidation>
    <dataValidation sqref="L110" showDropDown="0" showInputMessage="0" showErrorMessage="0" allowBlank="1" type="list">
      <formula1>"01,02"</formula1>
    </dataValidation>
    <dataValidation sqref="M110" showDropDown="0" showInputMessage="0" showErrorMessage="0" allowBlank="1" type="list">
      <formula1>"SI,NO"</formula1>
    </dataValidation>
    <dataValidation sqref="X110" showDropDown="0" showInputMessage="0" showErrorMessage="0" allowBlank="1" type="list">
      <formula1>"Sí,No"</formula1>
    </dataValidation>
    <dataValidation sqref="B111" showDropDown="0" showInputMessage="0" showErrorMessage="0" allowBlank="1" type="list">
      <formula1>"CC,TI,CE,RC,PA,MS,AS"</formula1>
    </dataValidation>
    <dataValidation sqref="G111" showDropDown="0" showInputMessage="0" showErrorMessage="0" allowBlank="1" type="list">
      <formula1>"01,02,03,04"</formula1>
    </dataValidation>
    <dataValidation sqref="I111" showDropDown="0" showInputMessage="0" showErrorMessage="0" allowBlank="1" type="list">
      <formula1>"M,F"</formula1>
    </dataValidation>
    <dataValidation sqref="L111" showDropDown="0" showInputMessage="0" showErrorMessage="0" allowBlank="1" type="list">
      <formula1>"01,02"</formula1>
    </dataValidation>
    <dataValidation sqref="M111" showDropDown="0" showInputMessage="0" showErrorMessage="0" allowBlank="1" type="list">
      <formula1>"SI,NO"</formula1>
    </dataValidation>
    <dataValidation sqref="X111" showDropDown="0" showInputMessage="0" showErrorMessage="0" allowBlank="1" type="list">
      <formula1>"Sí,No"</formula1>
    </dataValidation>
    <dataValidation sqref="B112" showDropDown="0" showInputMessage="0" showErrorMessage="0" allowBlank="1" type="list">
      <formula1>"CC,TI,CE,RC,PA,MS,AS"</formula1>
    </dataValidation>
    <dataValidation sqref="G112" showDropDown="0" showInputMessage="0" showErrorMessage="0" allowBlank="1" type="list">
      <formula1>"01,02,03,04"</formula1>
    </dataValidation>
    <dataValidation sqref="I112" showDropDown="0" showInputMessage="0" showErrorMessage="0" allowBlank="1" type="list">
      <formula1>"M,F"</formula1>
    </dataValidation>
    <dataValidation sqref="L112" showDropDown="0" showInputMessage="0" showErrorMessage="0" allowBlank="1" type="list">
      <formula1>"01,02"</formula1>
    </dataValidation>
    <dataValidation sqref="M112" showDropDown="0" showInputMessage="0" showErrorMessage="0" allowBlank="1" type="list">
      <formula1>"SI,NO"</formula1>
    </dataValidation>
    <dataValidation sqref="X112" showDropDown="0" showInputMessage="0" showErrorMessage="0" allowBlank="1" type="list">
      <formula1>"Sí,No"</formula1>
    </dataValidation>
    <dataValidation sqref="B113" showDropDown="0" showInputMessage="0" showErrorMessage="0" allowBlank="1" type="list">
      <formula1>"CC,TI,CE,RC,PA,MS,AS"</formula1>
    </dataValidation>
    <dataValidation sqref="G113" showDropDown="0" showInputMessage="0" showErrorMessage="0" allowBlank="1" type="list">
      <formula1>"01,02,03,04"</formula1>
    </dataValidation>
    <dataValidation sqref="I113" showDropDown="0" showInputMessage="0" showErrorMessage="0" allowBlank="1" type="list">
      <formula1>"M,F"</formula1>
    </dataValidation>
    <dataValidation sqref="L113" showDropDown="0" showInputMessage="0" showErrorMessage="0" allowBlank="1" type="list">
      <formula1>"01,02"</formula1>
    </dataValidation>
    <dataValidation sqref="M113" showDropDown="0" showInputMessage="0" showErrorMessage="0" allowBlank="1" type="list">
      <formula1>"SI,NO"</formula1>
    </dataValidation>
    <dataValidation sqref="X113" showDropDown="0" showInputMessage="0" showErrorMessage="0" allowBlank="1" type="list">
      <formula1>"Sí,No"</formula1>
    </dataValidation>
    <dataValidation sqref="B114" showDropDown="0" showInputMessage="0" showErrorMessage="0" allowBlank="1" type="list">
      <formula1>"CC,TI,CE,RC,PA,MS,AS"</formula1>
    </dataValidation>
    <dataValidation sqref="G114" showDropDown="0" showInputMessage="0" showErrorMessage="0" allowBlank="1" type="list">
      <formula1>"01,02,03,04"</formula1>
    </dataValidation>
    <dataValidation sqref="I114" showDropDown="0" showInputMessage="0" showErrorMessage="0" allowBlank="1" type="list">
      <formula1>"M,F"</formula1>
    </dataValidation>
    <dataValidation sqref="L114" showDropDown="0" showInputMessage="0" showErrorMessage="0" allowBlank="1" type="list">
      <formula1>"01,02"</formula1>
    </dataValidation>
    <dataValidation sqref="M114" showDropDown="0" showInputMessage="0" showErrorMessage="0" allowBlank="1" type="list">
      <formula1>"SI,NO"</formula1>
    </dataValidation>
    <dataValidation sqref="X114" showDropDown="0" showInputMessage="0" showErrorMessage="0" allowBlank="1" type="list">
      <formula1>"Sí,No"</formula1>
    </dataValidation>
    <dataValidation sqref="B115" showDropDown="0" showInputMessage="0" showErrorMessage="0" allowBlank="1" type="list">
      <formula1>"CC,TI,CE,RC,PA,MS,AS"</formula1>
    </dataValidation>
    <dataValidation sqref="G115" showDropDown="0" showInputMessage="0" showErrorMessage="0" allowBlank="1" type="list">
      <formula1>"01,02,03,04"</formula1>
    </dataValidation>
    <dataValidation sqref="I115" showDropDown="0" showInputMessage="0" showErrorMessage="0" allowBlank="1" type="list">
      <formula1>"M,F"</formula1>
    </dataValidation>
    <dataValidation sqref="L115" showDropDown="0" showInputMessage="0" showErrorMessage="0" allowBlank="1" type="list">
      <formula1>"01,02"</formula1>
    </dataValidation>
    <dataValidation sqref="M115" showDropDown="0" showInputMessage="0" showErrorMessage="0" allowBlank="1" type="list">
      <formula1>"SI,NO"</formula1>
    </dataValidation>
    <dataValidation sqref="X115" showDropDown="0" showInputMessage="0" showErrorMessage="0" allowBlank="1" type="list">
      <formula1>"Sí,No"</formula1>
    </dataValidation>
    <dataValidation sqref="B116" showDropDown="0" showInputMessage="0" showErrorMessage="0" allowBlank="1" type="list">
      <formula1>"CC,TI,CE,RC,PA,MS,AS"</formula1>
    </dataValidation>
    <dataValidation sqref="G116" showDropDown="0" showInputMessage="0" showErrorMessage="0" allowBlank="1" type="list">
      <formula1>"01,02,03,04"</formula1>
    </dataValidation>
    <dataValidation sqref="I116" showDropDown="0" showInputMessage="0" showErrorMessage="0" allowBlank="1" type="list">
      <formula1>"M,F"</formula1>
    </dataValidation>
    <dataValidation sqref="L116" showDropDown="0" showInputMessage="0" showErrorMessage="0" allowBlank="1" type="list">
      <formula1>"01,02"</formula1>
    </dataValidation>
    <dataValidation sqref="M116" showDropDown="0" showInputMessage="0" showErrorMessage="0" allowBlank="1" type="list">
      <formula1>"SI,NO"</formula1>
    </dataValidation>
    <dataValidation sqref="X116" showDropDown="0" showInputMessage="0" showErrorMessage="0" allowBlank="1" type="list">
      <formula1>"Sí,No"</formula1>
    </dataValidation>
    <dataValidation sqref="B117" showDropDown="0" showInputMessage="0" showErrorMessage="0" allowBlank="1" type="list">
      <formula1>"CC,TI,CE,RC,PA,MS,AS"</formula1>
    </dataValidation>
    <dataValidation sqref="G117" showDropDown="0" showInputMessage="0" showErrorMessage="0" allowBlank="1" type="list">
      <formula1>"01,02,03,04"</formula1>
    </dataValidation>
    <dataValidation sqref="I117" showDropDown="0" showInputMessage="0" showErrorMessage="0" allowBlank="1" type="list">
      <formula1>"M,F"</formula1>
    </dataValidation>
    <dataValidation sqref="L117" showDropDown="0" showInputMessage="0" showErrorMessage="0" allowBlank="1" type="list">
      <formula1>"01,02"</formula1>
    </dataValidation>
    <dataValidation sqref="M117" showDropDown="0" showInputMessage="0" showErrorMessage="0" allowBlank="1" type="list">
      <formula1>"SI,NO"</formula1>
    </dataValidation>
    <dataValidation sqref="X117" showDropDown="0" showInputMessage="0" showErrorMessage="0" allowBlank="1" type="list">
      <formula1>"Sí,No"</formula1>
    </dataValidation>
    <dataValidation sqref="B118" showDropDown="0" showInputMessage="0" showErrorMessage="0" allowBlank="1" type="list">
      <formula1>"CC,TI,CE,RC,PA,MS,AS"</formula1>
    </dataValidation>
    <dataValidation sqref="G118" showDropDown="0" showInputMessage="0" showErrorMessage="0" allowBlank="1" type="list">
      <formula1>"01,02,03,04"</formula1>
    </dataValidation>
    <dataValidation sqref="I118" showDropDown="0" showInputMessage="0" showErrorMessage="0" allowBlank="1" type="list">
      <formula1>"M,F"</formula1>
    </dataValidation>
    <dataValidation sqref="L118" showDropDown="0" showInputMessage="0" showErrorMessage="0" allowBlank="1" type="list">
      <formula1>"01,02"</formula1>
    </dataValidation>
    <dataValidation sqref="M118" showDropDown="0" showInputMessage="0" showErrorMessage="0" allowBlank="1" type="list">
      <formula1>"SI,NO"</formula1>
    </dataValidation>
    <dataValidation sqref="X118" showDropDown="0" showInputMessage="0" showErrorMessage="0" allowBlank="1" type="list">
      <formula1>"Sí,No"</formula1>
    </dataValidation>
    <dataValidation sqref="B119" showDropDown="0" showInputMessage="0" showErrorMessage="0" allowBlank="1" type="list">
      <formula1>"CC,TI,CE,RC,PA,MS,AS"</formula1>
    </dataValidation>
    <dataValidation sqref="G119" showDropDown="0" showInputMessage="0" showErrorMessage="0" allowBlank="1" type="list">
      <formula1>"01,02,03,04"</formula1>
    </dataValidation>
    <dataValidation sqref="I119" showDropDown="0" showInputMessage="0" showErrorMessage="0" allowBlank="1" type="list">
      <formula1>"M,F"</formula1>
    </dataValidation>
    <dataValidation sqref="L119" showDropDown="0" showInputMessage="0" showErrorMessage="0" allowBlank="1" type="list">
      <formula1>"01,02"</formula1>
    </dataValidation>
    <dataValidation sqref="M119" showDropDown="0" showInputMessage="0" showErrorMessage="0" allowBlank="1" type="list">
      <formula1>"SI,NO"</formula1>
    </dataValidation>
    <dataValidation sqref="X119" showDropDown="0" showInputMessage="0" showErrorMessage="0" allowBlank="1" type="list">
      <formula1>"Sí,No"</formula1>
    </dataValidation>
    <dataValidation sqref="B120" showDropDown="0" showInputMessage="0" showErrorMessage="0" allowBlank="1" type="list">
      <formula1>"CC,TI,CE,RC,PA,MS,AS"</formula1>
    </dataValidation>
    <dataValidation sqref="G120" showDropDown="0" showInputMessage="0" showErrorMessage="0" allowBlank="1" type="list">
      <formula1>"01,02,03,04"</formula1>
    </dataValidation>
    <dataValidation sqref="I120" showDropDown="0" showInputMessage="0" showErrorMessage="0" allowBlank="1" type="list">
      <formula1>"M,F"</formula1>
    </dataValidation>
    <dataValidation sqref="L120" showDropDown="0" showInputMessage="0" showErrorMessage="0" allowBlank="1" type="list">
      <formula1>"01,02"</formula1>
    </dataValidation>
    <dataValidation sqref="M120" showDropDown="0" showInputMessage="0" showErrorMessage="0" allowBlank="1" type="list">
      <formula1>"SI,NO"</formula1>
    </dataValidation>
    <dataValidation sqref="X120" showDropDown="0" showInputMessage="0" showErrorMessage="0" allowBlank="1" type="list">
      <formula1>"Sí,No"</formula1>
    </dataValidation>
    <dataValidation sqref="B121" showDropDown="0" showInputMessage="0" showErrorMessage="0" allowBlank="1" type="list">
      <formula1>"CC,TI,CE,RC,PA,MS,AS"</formula1>
    </dataValidation>
    <dataValidation sqref="G121" showDropDown="0" showInputMessage="0" showErrorMessage="0" allowBlank="1" type="list">
      <formula1>"01,02,03,04"</formula1>
    </dataValidation>
    <dataValidation sqref="I121" showDropDown="0" showInputMessage="0" showErrorMessage="0" allowBlank="1" type="list">
      <formula1>"M,F"</formula1>
    </dataValidation>
    <dataValidation sqref="L121" showDropDown="0" showInputMessage="0" showErrorMessage="0" allowBlank="1" type="list">
      <formula1>"01,02"</formula1>
    </dataValidation>
    <dataValidation sqref="M121" showDropDown="0" showInputMessage="0" showErrorMessage="0" allowBlank="1" type="list">
      <formula1>"SI,NO"</formula1>
    </dataValidation>
    <dataValidation sqref="X121" showDropDown="0" showInputMessage="0" showErrorMessage="0" allowBlank="1" type="list">
      <formula1>"Sí,No"</formula1>
    </dataValidation>
    <dataValidation sqref="B122" showDropDown="0" showInputMessage="0" showErrorMessage="0" allowBlank="1" type="list">
      <formula1>"CC,TI,CE,RC,PA,MS,AS"</formula1>
    </dataValidation>
    <dataValidation sqref="G122" showDropDown="0" showInputMessage="0" showErrorMessage="0" allowBlank="1" type="list">
      <formula1>"01,02,03,04"</formula1>
    </dataValidation>
    <dataValidation sqref="I122" showDropDown="0" showInputMessage="0" showErrorMessage="0" allowBlank="1" type="list">
      <formula1>"M,F"</formula1>
    </dataValidation>
    <dataValidation sqref="L122" showDropDown="0" showInputMessage="0" showErrorMessage="0" allowBlank="1" type="list">
      <formula1>"01,02"</formula1>
    </dataValidation>
    <dataValidation sqref="M122" showDropDown="0" showInputMessage="0" showErrorMessage="0" allowBlank="1" type="list">
      <formula1>"SI,NO"</formula1>
    </dataValidation>
    <dataValidation sqref="X122" showDropDown="0" showInputMessage="0" showErrorMessage="0" allowBlank="1" type="list">
      <formula1>"Sí,No"</formula1>
    </dataValidation>
    <dataValidation sqref="B123" showDropDown="0" showInputMessage="0" showErrorMessage="0" allowBlank="1" type="list">
      <formula1>"CC,TI,CE,RC,PA,MS,AS"</formula1>
    </dataValidation>
    <dataValidation sqref="G123" showDropDown="0" showInputMessage="0" showErrorMessage="0" allowBlank="1" type="list">
      <formula1>"01,02,03,04"</formula1>
    </dataValidation>
    <dataValidation sqref="I123" showDropDown="0" showInputMessage="0" showErrorMessage="0" allowBlank="1" type="list">
      <formula1>"M,F"</formula1>
    </dataValidation>
    <dataValidation sqref="L123" showDropDown="0" showInputMessage="0" showErrorMessage="0" allowBlank="1" type="list">
      <formula1>"01,02"</formula1>
    </dataValidation>
    <dataValidation sqref="M123" showDropDown="0" showInputMessage="0" showErrorMessage="0" allowBlank="1" type="list">
      <formula1>"SI,NO"</formula1>
    </dataValidation>
    <dataValidation sqref="X123" showDropDown="0" showInputMessage="0" showErrorMessage="0" allowBlank="1" type="list">
      <formula1>"Sí,No"</formula1>
    </dataValidation>
    <dataValidation sqref="B124" showDropDown="0" showInputMessage="0" showErrorMessage="0" allowBlank="1" type="list">
      <formula1>"CC,TI,CE,RC,PA,MS,AS"</formula1>
    </dataValidation>
    <dataValidation sqref="G124" showDropDown="0" showInputMessage="0" showErrorMessage="0" allowBlank="1" type="list">
      <formula1>"01,02,03,04"</formula1>
    </dataValidation>
    <dataValidation sqref="I124" showDropDown="0" showInputMessage="0" showErrorMessage="0" allowBlank="1" type="list">
      <formula1>"M,F"</formula1>
    </dataValidation>
    <dataValidation sqref="L124" showDropDown="0" showInputMessage="0" showErrorMessage="0" allowBlank="1" type="list">
      <formula1>"01,02"</formula1>
    </dataValidation>
    <dataValidation sqref="M124" showDropDown="0" showInputMessage="0" showErrorMessage="0" allowBlank="1" type="list">
      <formula1>"SI,NO"</formula1>
    </dataValidation>
    <dataValidation sqref="X124" showDropDown="0" showInputMessage="0" showErrorMessage="0" allowBlank="1" type="list">
      <formula1>"Sí,No"</formula1>
    </dataValidation>
    <dataValidation sqref="B125" showDropDown="0" showInputMessage="0" showErrorMessage="0" allowBlank="1" type="list">
      <formula1>"CC,TI,CE,RC,PA,MS,AS"</formula1>
    </dataValidation>
    <dataValidation sqref="G125" showDropDown="0" showInputMessage="0" showErrorMessage="0" allowBlank="1" type="list">
      <formula1>"01,02,03,04"</formula1>
    </dataValidation>
    <dataValidation sqref="I125" showDropDown="0" showInputMessage="0" showErrorMessage="0" allowBlank="1" type="list">
      <formula1>"M,F"</formula1>
    </dataValidation>
    <dataValidation sqref="L125" showDropDown="0" showInputMessage="0" showErrorMessage="0" allowBlank="1" type="list">
      <formula1>"01,02"</formula1>
    </dataValidation>
    <dataValidation sqref="M125" showDropDown="0" showInputMessage="0" showErrorMessage="0" allowBlank="1" type="list">
      <formula1>"SI,NO"</formula1>
    </dataValidation>
    <dataValidation sqref="X125" showDropDown="0" showInputMessage="0" showErrorMessage="0" allowBlank="1" type="list">
      <formula1>"Sí,No"</formula1>
    </dataValidation>
    <dataValidation sqref="B126" showDropDown="0" showInputMessage="0" showErrorMessage="0" allowBlank="1" type="list">
      <formula1>"CC,TI,CE,RC,PA,MS,AS"</formula1>
    </dataValidation>
    <dataValidation sqref="G126" showDropDown="0" showInputMessage="0" showErrorMessage="0" allowBlank="1" type="list">
      <formula1>"01,02,03,04"</formula1>
    </dataValidation>
    <dataValidation sqref="I126" showDropDown="0" showInputMessage="0" showErrorMessage="0" allowBlank="1" type="list">
      <formula1>"M,F"</formula1>
    </dataValidation>
    <dataValidation sqref="L126" showDropDown="0" showInputMessage="0" showErrorMessage="0" allowBlank="1" type="list">
      <formula1>"01,02"</formula1>
    </dataValidation>
    <dataValidation sqref="M126" showDropDown="0" showInputMessage="0" showErrorMessage="0" allowBlank="1" type="list">
      <formula1>"SI,NO"</formula1>
    </dataValidation>
    <dataValidation sqref="X126" showDropDown="0" showInputMessage="0" showErrorMessage="0" allowBlank="1" type="list">
      <formula1>"Sí,No"</formula1>
    </dataValidation>
    <dataValidation sqref="B127" showDropDown="0" showInputMessage="0" showErrorMessage="0" allowBlank="1" type="list">
      <formula1>"CC,TI,CE,RC,PA,MS,AS"</formula1>
    </dataValidation>
    <dataValidation sqref="G127" showDropDown="0" showInputMessage="0" showErrorMessage="0" allowBlank="1" type="list">
      <formula1>"01,02,03,04"</formula1>
    </dataValidation>
    <dataValidation sqref="I127" showDropDown="0" showInputMessage="0" showErrorMessage="0" allowBlank="1" type="list">
      <formula1>"M,F"</formula1>
    </dataValidation>
    <dataValidation sqref="L127" showDropDown="0" showInputMessage="0" showErrorMessage="0" allowBlank="1" type="list">
      <formula1>"01,02"</formula1>
    </dataValidation>
    <dataValidation sqref="M127" showDropDown="0" showInputMessage="0" showErrorMessage="0" allowBlank="1" type="list">
      <formula1>"SI,NO"</formula1>
    </dataValidation>
    <dataValidation sqref="X127" showDropDown="0" showInputMessage="0" showErrorMessage="0" allowBlank="1" type="list">
      <formula1>"Sí,No"</formula1>
    </dataValidation>
    <dataValidation sqref="B128" showDropDown="0" showInputMessage="0" showErrorMessage="0" allowBlank="1" type="list">
      <formula1>"CC,TI,CE,RC,PA,MS,AS"</formula1>
    </dataValidation>
    <dataValidation sqref="G128" showDropDown="0" showInputMessage="0" showErrorMessage="0" allowBlank="1" type="list">
      <formula1>"01,02,03,04"</formula1>
    </dataValidation>
    <dataValidation sqref="I128" showDropDown="0" showInputMessage="0" showErrorMessage="0" allowBlank="1" type="list">
      <formula1>"M,F"</formula1>
    </dataValidation>
    <dataValidation sqref="L128" showDropDown="0" showInputMessage="0" showErrorMessage="0" allowBlank="1" type="list">
      <formula1>"01,02"</formula1>
    </dataValidation>
    <dataValidation sqref="M128" showDropDown="0" showInputMessage="0" showErrorMessage="0" allowBlank="1" type="list">
      <formula1>"SI,NO"</formula1>
    </dataValidation>
    <dataValidation sqref="X128" showDropDown="0" showInputMessage="0" showErrorMessage="0" allowBlank="1" type="list">
      <formula1>"Sí,No"</formula1>
    </dataValidation>
    <dataValidation sqref="B129" showDropDown="0" showInputMessage="0" showErrorMessage="0" allowBlank="1" type="list">
      <formula1>"CC,TI,CE,RC,PA,MS,AS"</formula1>
    </dataValidation>
    <dataValidation sqref="G129" showDropDown="0" showInputMessage="0" showErrorMessage="0" allowBlank="1" type="list">
      <formula1>"01,02,03,04"</formula1>
    </dataValidation>
    <dataValidation sqref="I129" showDropDown="0" showInputMessage="0" showErrorMessage="0" allowBlank="1" type="list">
      <formula1>"M,F"</formula1>
    </dataValidation>
    <dataValidation sqref="L129" showDropDown="0" showInputMessage="0" showErrorMessage="0" allowBlank="1" type="list">
      <formula1>"01,02"</formula1>
    </dataValidation>
    <dataValidation sqref="M129" showDropDown="0" showInputMessage="0" showErrorMessage="0" allowBlank="1" type="list">
      <formula1>"SI,NO"</formula1>
    </dataValidation>
    <dataValidation sqref="X129" showDropDown="0" showInputMessage="0" showErrorMessage="0" allowBlank="1" type="list">
      <formula1>"Sí,No"</formula1>
    </dataValidation>
    <dataValidation sqref="B130" showDropDown="0" showInputMessage="0" showErrorMessage="0" allowBlank="1" type="list">
      <formula1>"CC,TI,CE,RC,PA,MS,AS"</formula1>
    </dataValidation>
    <dataValidation sqref="G130" showDropDown="0" showInputMessage="0" showErrorMessage="0" allowBlank="1" type="list">
      <formula1>"01,02,03,04"</formula1>
    </dataValidation>
    <dataValidation sqref="I130" showDropDown="0" showInputMessage="0" showErrorMessage="0" allowBlank="1" type="list">
      <formula1>"M,F"</formula1>
    </dataValidation>
    <dataValidation sqref="L130" showDropDown="0" showInputMessage="0" showErrorMessage="0" allowBlank="1" type="list">
      <formula1>"01,02"</formula1>
    </dataValidation>
    <dataValidation sqref="M130" showDropDown="0" showInputMessage="0" showErrorMessage="0" allowBlank="1" type="list">
      <formula1>"SI,NO"</formula1>
    </dataValidation>
    <dataValidation sqref="X130" showDropDown="0" showInputMessage="0" showErrorMessage="0" allowBlank="1" type="list">
      <formula1>"Sí,No"</formula1>
    </dataValidation>
    <dataValidation sqref="B131" showDropDown="0" showInputMessage="0" showErrorMessage="0" allowBlank="1" type="list">
      <formula1>"CC,TI,CE,RC,PA,MS,AS"</formula1>
    </dataValidation>
    <dataValidation sqref="G131" showDropDown="0" showInputMessage="0" showErrorMessage="0" allowBlank="1" type="list">
      <formula1>"01,02,03,04"</formula1>
    </dataValidation>
    <dataValidation sqref="I131" showDropDown="0" showInputMessage="0" showErrorMessage="0" allowBlank="1" type="list">
      <formula1>"M,F"</formula1>
    </dataValidation>
    <dataValidation sqref="L131" showDropDown="0" showInputMessage="0" showErrorMessage="0" allowBlank="1" type="list">
      <formula1>"01,02"</formula1>
    </dataValidation>
    <dataValidation sqref="M131" showDropDown="0" showInputMessage="0" showErrorMessage="0" allowBlank="1" type="list">
      <formula1>"SI,NO"</formula1>
    </dataValidation>
    <dataValidation sqref="X131" showDropDown="0" showInputMessage="0" showErrorMessage="0" allowBlank="1" type="list">
      <formula1>"Sí,No"</formula1>
    </dataValidation>
    <dataValidation sqref="B132" showDropDown="0" showInputMessage="0" showErrorMessage="0" allowBlank="1" type="list">
      <formula1>"CC,TI,CE,RC,PA,MS,AS"</formula1>
    </dataValidation>
    <dataValidation sqref="G132" showDropDown="0" showInputMessage="0" showErrorMessage="0" allowBlank="1" type="list">
      <formula1>"01,02,03,04"</formula1>
    </dataValidation>
    <dataValidation sqref="I132" showDropDown="0" showInputMessage="0" showErrorMessage="0" allowBlank="1" type="list">
      <formula1>"M,F"</formula1>
    </dataValidation>
    <dataValidation sqref="L132" showDropDown="0" showInputMessage="0" showErrorMessage="0" allowBlank="1" type="list">
      <formula1>"01,02"</formula1>
    </dataValidation>
    <dataValidation sqref="M132" showDropDown="0" showInputMessage="0" showErrorMessage="0" allowBlank="1" type="list">
      <formula1>"SI,NO"</formula1>
    </dataValidation>
    <dataValidation sqref="X132" showDropDown="0" showInputMessage="0" showErrorMessage="0" allowBlank="1" type="list">
      <formula1>"Sí,No"</formula1>
    </dataValidation>
    <dataValidation sqref="B133" showDropDown="0" showInputMessage="0" showErrorMessage="0" allowBlank="1" type="list">
      <formula1>"CC,TI,CE,RC,PA,MS,AS"</formula1>
    </dataValidation>
    <dataValidation sqref="G133" showDropDown="0" showInputMessage="0" showErrorMessage="0" allowBlank="1" type="list">
      <formula1>"01,02,03,04"</formula1>
    </dataValidation>
    <dataValidation sqref="I133" showDropDown="0" showInputMessage="0" showErrorMessage="0" allowBlank="1" type="list">
      <formula1>"M,F"</formula1>
    </dataValidation>
    <dataValidation sqref="L133" showDropDown="0" showInputMessage="0" showErrorMessage="0" allowBlank="1" type="list">
      <formula1>"01,02"</formula1>
    </dataValidation>
    <dataValidation sqref="M133" showDropDown="0" showInputMessage="0" showErrorMessage="0" allowBlank="1" type="list">
      <formula1>"SI,NO"</formula1>
    </dataValidation>
    <dataValidation sqref="X133" showDropDown="0" showInputMessage="0" showErrorMessage="0" allowBlank="1" type="list">
      <formula1>"Sí,No"</formula1>
    </dataValidation>
    <dataValidation sqref="B134" showDropDown="0" showInputMessage="0" showErrorMessage="0" allowBlank="1" type="list">
      <formula1>"CC,TI,CE,RC,PA,MS,AS"</formula1>
    </dataValidation>
    <dataValidation sqref="G134" showDropDown="0" showInputMessage="0" showErrorMessage="0" allowBlank="1" type="list">
      <formula1>"01,02,03,04"</formula1>
    </dataValidation>
    <dataValidation sqref="I134" showDropDown="0" showInputMessage="0" showErrorMessage="0" allowBlank="1" type="list">
      <formula1>"M,F"</formula1>
    </dataValidation>
    <dataValidation sqref="L134" showDropDown="0" showInputMessage="0" showErrorMessage="0" allowBlank="1" type="list">
      <formula1>"01,02"</formula1>
    </dataValidation>
    <dataValidation sqref="M134" showDropDown="0" showInputMessage="0" showErrorMessage="0" allowBlank="1" type="list">
      <formula1>"SI,NO"</formula1>
    </dataValidation>
    <dataValidation sqref="X134" showDropDown="0" showInputMessage="0" showErrorMessage="0" allowBlank="1" type="list">
      <formula1>"Sí,No"</formula1>
    </dataValidation>
    <dataValidation sqref="B135" showDropDown="0" showInputMessage="0" showErrorMessage="0" allowBlank="1" type="list">
      <formula1>"CC,TI,CE,RC,PA,MS,AS"</formula1>
    </dataValidation>
    <dataValidation sqref="G135" showDropDown="0" showInputMessage="0" showErrorMessage="0" allowBlank="1" type="list">
      <formula1>"01,02,03,04"</formula1>
    </dataValidation>
    <dataValidation sqref="I135" showDropDown="0" showInputMessage="0" showErrorMessage="0" allowBlank="1" type="list">
      <formula1>"M,F"</formula1>
    </dataValidation>
    <dataValidation sqref="L135" showDropDown="0" showInputMessage="0" showErrorMessage="0" allowBlank="1" type="list">
      <formula1>"01,02"</formula1>
    </dataValidation>
    <dataValidation sqref="M135" showDropDown="0" showInputMessage="0" showErrorMessage="0" allowBlank="1" type="list">
      <formula1>"SI,NO"</formula1>
    </dataValidation>
    <dataValidation sqref="X135" showDropDown="0" showInputMessage="0" showErrorMessage="0" allowBlank="1" type="list">
      <formula1>"Sí,No"</formula1>
    </dataValidation>
    <dataValidation sqref="B136" showDropDown="0" showInputMessage="0" showErrorMessage="0" allowBlank="1" type="list">
      <formula1>"CC,TI,CE,RC,PA,MS,AS"</formula1>
    </dataValidation>
    <dataValidation sqref="G136" showDropDown="0" showInputMessage="0" showErrorMessage="0" allowBlank="1" type="list">
      <formula1>"01,02,03,04"</formula1>
    </dataValidation>
    <dataValidation sqref="I136" showDropDown="0" showInputMessage="0" showErrorMessage="0" allowBlank="1" type="list">
      <formula1>"M,F"</formula1>
    </dataValidation>
    <dataValidation sqref="L136" showDropDown="0" showInputMessage="0" showErrorMessage="0" allowBlank="1" type="list">
      <formula1>"01,02"</formula1>
    </dataValidation>
    <dataValidation sqref="M136" showDropDown="0" showInputMessage="0" showErrorMessage="0" allowBlank="1" type="list">
      <formula1>"SI,NO"</formula1>
    </dataValidation>
    <dataValidation sqref="X136" showDropDown="0" showInputMessage="0" showErrorMessage="0" allowBlank="1" type="list">
      <formula1>"Sí,No"</formula1>
    </dataValidation>
    <dataValidation sqref="B137" showDropDown="0" showInputMessage="0" showErrorMessage="0" allowBlank="1" type="list">
      <formula1>"CC,TI,CE,RC,PA,MS,AS"</formula1>
    </dataValidation>
    <dataValidation sqref="G137" showDropDown="0" showInputMessage="0" showErrorMessage="0" allowBlank="1" type="list">
      <formula1>"01,02,03,04"</formula1>
    </dataValidation>
    <dataValidation sqref="I137" showDropDown="0" showInputMessage="0" showErrorMessage="0" allowBlank="1" type="list">
      <formula1>"M,F"</formula1>
    </dataValidation>
    <dataValidation sqref="L137" showDropDown="0" showInputMessage="0" showErrorMessage="0" allowBlank="1" type="list">
      <formula1>"01,02"</formula1>
    </dataValidation>
    <dataValidation sqref="M137" showDropDown="0" showInputMessage="0" showErrorMessage="0" allowBlank="1" type="list">
      <formula1>"SI,NO"</formula1>
    </dataValidation>
    <dataValidation sqref="X137" showDropDown="0" showInputMessage="0" showErrorMessage="0" allowBlank="1" type="list">
      <formula1>"Sí,No"</formula1>
    </dataValidation>
    <dataValidation sqref="B138" showDropDown="0" showInputMessage="0" showErrorMessage="0" allowBlank="1" type="list">
      <formula1>"CC,TI,CE,RC,PA,MS,AS"</formula1>
    </dataValidation>
    <dataValidation sqref="G138" showDropDown="0" showInputMessage="0" showErrorMessage="0" allowBlank="1" type="list">
      <formula1>"01,02,03,04"</formula1>
    </dataValidation>
    <dataValidation sqref="I138" showDropDown="0" showInputMessage="0" showErrorMessage="0" allowBlank="1" type="list">
      <formula1>"M,F"</formula1>
    </dataValidation>
    <dataValidation sqref="L138" showDropDown="0" showInputMessage="0" showErrorMessage="0" allowBlank="1" type="list">
      <formula1>"01,02"</formula1>
    </dataValidation>
    <dataValidation sqref="M138" showDropDown="0" showInputMessage="0" showErrorMessage="0" allowBlank="1" type="list">
      <formula1>"SI,NO"</formula1>
    </dataValidation>
    <dataValidation sqref="X138" showDropDown="0" showInputMessage="0" showErrorMessage="0" allowBlank="1" type="list">
      <formula1>"Sí,No"</formula1>
    </dataValidation>
    <dataValidation sqref="B139" showDropDown="0" showInputMessage="0" showErrorMessage="0" allowBlank="1" type="list">
      <formula1>"CC,TI,CE,RC,PA,MS,AS"</formula1>
    </dataValidation>
    <dataValidation sqref="G139" showDropDown="0" showInputMessage="0" showErrorMessage="0" allowBlank="1" type="list">
      <formula1>"01,02,03,04"</formula1>
    </dataValidation>
    <dataValidation sqref="I139" showDropDown="0" showInputMessage="0" showErrorMessage="0" allowBlank="1" type="list">
      <formula1>"M,F"</formula1>
    </dataValidation>
    <dataValidation sqref="L139" showDropDown="0" showInputMessage="0" showErrorMessage="0" allowBlank="1" type="list">
      <formula1>"01,02"</formula1>
    </dataValidation>
    <dataValidation sqref="M139" showDropDown="0" showInputMessage="0" showErrorMessage="0" allowBlank="1" type="list">
      <formula1>"SI,NO"</formula1>
    </dataValidation>
    <dataValidation sqref="X139" showDropDown="0" showInputMessage="0" showErrorMessage="0" allowBlank="1" type="list">
      <formula1>"Sí,No"</formula1>
    </dataValidation>
    <dataValidation sqref="B140" showDropDown="0" showInputMessage="0" showErrorMessage="0" allowBlank="1" type="list">
      <formula1>"CC,TI,CE,RC,PA,MS,AS"</formula1>
    </dataValidation>
    <dataValidation sqref="G140" showDropDown="0" showInputMessage="0" showErrorMessage="0" allowBlank="1" type="list">
      <formula1>"01,02,03,04"</formula1>
    </dataValidation>
    <dataValidation sqref="I140" showDropDown="0" showInputMessage="0" showErrorMessage="0" allowBlank="1" type="list">
      <formula1>"M,F"</formula1>
    </dataValidation>
    <dataValidation sqref="L140" showDropDown="0" showInputMessage="0" showErrorMessage="0" allowBlank="1" type="list">
      <formula1>"01,02"</formula1>
    </dataValidation>
    <dataValidation sqref="M140" showDropDown="0" showInputMessage="0" showErrorMessage="0" allowBlank="1" type="list">
      <formula1>"SI,NO"</formula1>
    </dataValidation>
    <dataValidation sqref="X140" showDropDown="0" showInputMessage="0" showErrorMessage="0" allowBlank="1" type="list">
      <formula1>"Sí,No"</formula1>
    </dataValidation>
    <dataValidation sqref="B141" showDropDown="0" showInputMessage="0" showErrorMessage="0" allowBlank="1" type="list">
      <formula1>"CC,TI,CE,RC,PA,MS,AS"</formula1>
    </dataValidation>
    <dataValidation sqref="G141" showDropDown="0" showInputMessage="0" showErrorMessage="0" allowBlank="1" type="list">
      <formula1>"01,02,03,04"</formula1>
    </dataValidation>
    <dataValidation sqref="I141" showDropDown="0" showInputMessage="0" showErrorMessage="0" allowBlank="1" type="list">
      <formula1>"M,F"</formula1>
    </dataValidation>
    <dataValidation sqref="L141" showDropDown="0" showInputMessage="0" showErrorMessage="0" allowBlank="1" type="list">
      <formula1>"01,02"</formula1>
    </dataValidation>
    <dataValidation sqref="M141" showDropDown="0" showInputMessage="0" showErrorMessage="0" allowBlank="1" type="list">
      <formula1>"SI,NO"</formula1>
    </dataValidation>
    <dataValidation sqref="X141" showDropDown="0" showInputMessage="0" showErrorMessage="0" allowBlank="1" type="list">
      <formula1>"Sí,No"</formula1>
    </dataValidation>
    <dataValidation sqref="B142" showDropDown="0" showInputMessage="0" showErrorMessage="0" allowBlank="1" type="list">
      <formula1>"CC,TI,CE,RC,PA,MS,AS"</formula1>
    </dataValidation>
    <dataValidation sqref="G142" showDropDown="0" showInputMessage="0" showErrorMessage="0" allowBlank="1" type="list">
      <formula1>"01,02,03,04"</formula1>
    </dataValidation>
    <dataValidation sqref="I142" showDropDown="0" showInputMessage="0" showErrorMessage="0" allowBlank="1" type="list">
      <formula1>"M,F"</formula1>
    </dataValidation>
    <dataValidation sqref="L142" showDropDown="0" showInputMessage="0" showErrorMessage="0" allowBlank="1" type="list">
      <formula1>"01,02"</formula1>
    </dataValidation>
    <dataValidation sqref="M142" showDropDown="0" showInputMessage="0" showErrorMessage="0" allowBlank="1" type="list">
      <formula1>"SI,NO"</formula1>
    </dataValidation>
    <dataValidation sqref="X142" showDropDown="0" showInputMessage="0" showErrorMessage="0" allowBlank="1" type="list">
      <formula1>"Sí,No"</formula1>
    </dataValidation>
    <dataValidation sqref="B143" showDropDown="0" showInputMessage="0" showErrorMessage="0" allowBlank="1" type="list">
      <formula1>"CC,TI,CE,RC,PA,MS,AS"</formula1>
    </dataValidation>
    <dataValidation sqref="G143" showDropDown="0" showInputMessage="0" showErrorMessage="0" allowBlank="1" type="list">
      <formula1>"01,02,03,04"</formula1>
    </dataValidation>
    <dataValidation sqref="I143" showDropDown="0" showInputMessage="0" showErrorMessage="0" allowBlank="1" type="list">
      <formula1>"M,F"</formula1>
    </dataValidation>
    <dataValidation sqref="L143" showDropDown="0" showInputMessage="0" showErrorMessage="0" allowBlank="1" type="list">
      <formula1>"01,02"</formula1>
    </dataValidation>
    <dataValidation sqref="M143" showDropDown="0" showInputMessage="0" showErrorMessage="0" allowBlank="1" type="list">
      <formula1>"SI,NO"</formula1>
    </dataValidation>
    <dataValidation sqref="X143" showDropDown="0" showInputMessage="0" showErrorMessage="0" allowBlank="1" type="list">
      <formula1>"Sí,No"</formula1>
    </dataValidation>
    <dataValidation sqref="B144" showDropDown="0" showInputMessage="0" showErrorMessage="0" allowBlank="1" type="list">
      <formula1>"CC,TI,CE,RC,PA,MS,AS"</formula1>
    </dataValidation>
    <dataValidation sqref="G144" showDropDown="0" showInputMessage="0" showErrorMessage="0" allowBlank="1" type="list">
      <formula1>"01,02,03,04"</formula1>
    </dataValidation>
    <dataValidation sqref="I144" showDropDown="0" showInputMessage="0" showErrorMessage="0" allowBlank="1" type="list">
      <formula1>"M,F"</formula1>
    </dataValidation>
    <dataValidation sqref="L144" showDropDown="0" showInputMessage="0" showErrorMessage="0" allowBlank="1" type="list">
      <formula1>"01,02"</formula1>
    </dataValidation>
    <dataValidation sqref="M144" showDropDown="0" showInputMessage="0" showErrorMessage="0" allowBlank="1" type="list">
      <formula1>"SI,NO"</formula1>
    </dataValidation>
    <dataValidation sqref="X144" showDropDown="0" showInputMessage="0" showErrorMessage="0" allowBlank="1" type="list">
      <formula1>"Sí,No"</formula1>
    </dataValidation>
    <dataValidation sqref="B145" showDropDown="0" showInputMessage="0" showErrorMessage="0" allowBlank="1" type="list">
      <formula1>"CC,TI,CE,RC,PA,MS,AS"</formula1>
    </dataValidation>
    <dataValidation sqref="G145" showDropDown="0" showInputMessage="0" showErrorMessage="0" allowBlank="1" type="list">
      <formula1>"01,02,03,04"</formula1>
    </dataValidation>
    <dataValidation sqref="I145" showDropDown="0" showInputMessage="0" showErrorMessage="0" allowBlank="1" type="list">
      <formula1>"M,F"</formula1>
    </dataValidation>
    <dataValidation sqref="L145" showDropDown="0" showInputMessage="0" showErrorMessage="0" allowBlank="1" type="list">
      <formula1>"01,02"</formula1>
    </dataValidation>
    <dataValidation sqref="M145" showDropDown="0" showInputMessage="0" showErrorMessage="0" allowBlank="1" type="list">
      <formula1>"SI,NO"</formula1>
    </dataValidation>
    <dataValidation sqref="X145" showDropDown="0" showInputMessage="0" showErrorMessage="0" allowBlank="1" type="list">
      <formula1>"Sí,No"</formula1>
    </dataValidation>
    <dataValidation sqref="B146" showDropDown="0" showInputMessage="0" showErrorMessage="0" allowBlank="1" type="list">
      <formula1>"CC,TI,CE,RC,PA,MS,AS"</formula1>
    </dataValidation>
    <dataValidation sqref="G146" showDropDown="0" showInputMessage="0" showErrorMessage="0" allowBlank="1" type="list">
      <formula1>"01,02,03,04"</formula1>
    </dataValidation>
    <dataValidation sqref="I146" showDropDown="0" showInputMessage="0" showErrorMessage="0" allowBlank="1" type="list">
      <formula1>"M,F"</formula1>
    </dataValidation>
    <dataValidation sqref="L146" showDropDown="0" showInputMessage="0" showErrorMessage="0" allowBlank="1" type="list">
      <formula1>"01,02"</formula1>
    </dataValidation>
    <dataValidation sqref="M146" showDropDown="0" showInputMessage="0" showErrorMessage="0" allowBlank="1" type="list">
      <formula1>"SI,NO"</formula1>
    </dataValidation>
    <dataValidation sqref="X146" showDropDown="0" showInputMessage="0" showErrorMessage="0" allowBlank="1" type="list">
      <formula1>"Sí,No"</formula1>
    </dataValidation>
    <dataValidation sqref="B147" showDropDown="0" showInputMessage="0" showErrorMessage="0" allowBlank="1" type="list">
      <formula1>"CC,TI,CE,RC,PA,MS,AS"</formula1>
    </dataValidation>
    <dataValidation sqref="G147" showDropDown="0" showInputMessage="0" showErrorMessage="0" allowBlank="1" type="list">
      <formula1>"01,02,03,04"</formula1>
    </dataValidation>
    <dataValidation sqref="I147" showDropDown="0" showInputMessage="0" showErrorMessage="0" allowBlank="1" type="list">
      <formula1>"M,F"</formula1>
    </dataValidation>
    <dataValidation sqref="L147" showDropDown="0" showInputMessage="0" showErrorMessage="0" allowBlank="1" type="list">
      <formula1>"01,02"</formula1>
    </dataValidation>
    <dataValidation sqref="M147" showDropDown="0" showInputMessage="0" showErrorMessage="0" allowBlank="1" type="list">
      <formula1>"SI,NO"</formula1>
    </dataValidation>
    <dataValidation sqref="X147" showDropDown="0" showInputMessage="0" showErrorMessage="0" allowBlank="1" type="list">
      <formula1>"Sí,No"</formula1>
    </dataValidation>
    <dataValidation sqref="B148" showDropDown="0" showInputMessage="0" showErrorMessage="0" allowBlank="1" type="list">
      <formula1>"CC,TI,CE,RC,PA,MS,AS"</formula1>
    </dataValidation>
    <dataValidation sqref="G148" showDropDown="0" showInputMessage="0" showErrorMessage="0" allowBlank="1" type="list">
      <formula1>"01,02,03,04"</formula1>
    </dataValidation>
    <dataValidation sqref="I148" showDropDown="0" showInputMessage="0" showErrorMessage="0" allowBlank="1" type="list">
      <formula1>"M,F"</formula1>
    </dataValidation>
    <dataValidation sqref="L148" showDropDown="0" showInputMessage="0" showErrorMessage="0" allowBlank="1" type="list">
      <formula1>"01,02"</formula1>
    </dataValidation>
    <dataValidation sqref="M148" showDropDown="0" showInputMessage="0" showErrorMessage="0" allowBlank="1" type="list">
      <formula1>"SI,NO"</formula1>
    </dataValidation>
    <dataValidation sqref="X148" showDropDown="0" showInputMessage="0" showErrorMessage="0" allowBlank="1" type="list">
      <formula1>"Sí,No"</formula1>
    </dataValidation>
    <dataValidation sqref="B149" showDropDown="0" showInputMessage="0" showErrorMessage="0" allowBlank="1" type="list">
      <formula1>"CC,TI,CE,RC,PA,MS,AS"</formula1>
    </dataValidation>
    <dataValidation sqref="G149" showDropDown="0" showInputMessage="0" showErrorMessage="0" allowBlank="1" type="list">
      <formula1>"01,02,03,04"</formula1>
    </dataValidation>
    <dataValidation sqref="I149" showDropDown="0" showInputMessage="0" showErrorMessage="0" allowBlank="1" type="list">
      <formula1>"M,F"</formula1>
    </dataValidation>
    <dataValidation sqref="L149" showDropDown="0" showInputMessage="0" showErrorMessage="0" allowBlank="1" type="list">
      <formula1>"01,02"</formula1>
    </dataValidation>
    <dataValidation sqref="M149" showDropDown="0" showInputMessage="0" showErrorMessage="0" allowBlank="1" type="list">
      <formula1>"SI,NO"</formula1>
    </dataValidation>
    <dataValidation sqref="X149" showDropDown="0" showInputMessage="0" showErrorMessage="0" allowBlank="1" type="list">
      <formula1>"Sí,No"</formula1>
    </dataValidation>
    <dataValidation sqref="B150" showDropDown="0" showInputMessage="0" showErrorMessage="0" allowBlank="1" type="list">
      <formula1>"CC,TI,CE,RC,PA,MS,AS"</formula1>
    </dataValidation>
    <dataValidation sqref="G150" showDropDown="0" showInputMessage="0" showErrorMessage="0" allowBlank="1" type="list">
      <formula1>"01,02,03,04"</formula1>
    </dataValidation>
    <dataValidation sqref="I150" showDropDown="0" showInputMessage="0" showErrorMessage="0" allowBlank="1" type="list">
      <formula1>"M,F"</formula1>
    </dataValidation>
    <dataValidation sqref="L150" showDropDown="0" showInputMessage="0" showErrorMessage="0" allowBlank="1" type="list">
      <formula1>"01,02"</formula1>
    </dataValidation>
    <dataValidation sqref="M150" showDropDown="0" showInputMessage="0" showErrorMessage="0" allowBlank="1" type="list">
      <formula1>"SI,NO"</formula1>
    </dataValidation>
    <dataValidation sqref="X150" showDropDown="0" showInputMessage="0" showErrorMessage="0" allowBlank="1" type="list">
      <formula1>"Sí,No"</formula1>
    </dataValidation>
    <dataValidation sqref="B151" showDropDown="0" showInputMessage="0" showErrorMessage="0" allowBlank="1" type="list">
      <formula1>"CC,TI,CE,RC,PA,MS,AS"</formula1>
    </dataValidation>
    <dataValidation sqref="G151" showDropDown="0" showInputMessage="0" showErrorMessage="0" allowBlank="1" type="list">
      <formula1>"01,02,03,04"</formula1>
    </dataValidation>
    <dataValidation sqref="I151" showDropDown="0" showInputMessage="0" showErrorMessage="0" allowBlank="1" type="list">
      <formula1>"M,F"</formula1>
    </dataValidation>
    <dataValidation sqref="L151" showDropDown="0" showInputMessage="0" showErrorMessage="0" allowBlank="1" type="list">
      <formula1>"01,02"</formula1>
    </dataValidation>
    <dataValidation sqref="M151" showDropDown="0" showInputMessage="0" showErrorMessage="0" allowBlank="1" type="list">
      <formula1>"SI,NO"</formula1>
    </dataValidation>
    <dataValidation sqref="X151" showDropDown="0" showInputMessage="0" showErrorMessage="0" allowBlank="1" type="list">
      <formula1>"Sí,No"</formula1>
    </dataValidation>
    <dataValidation sqref="B152" showDropDown="0" showInputMessage="0" showErrorMessage="0" allowBlank="1" type="list">
      <formula1>"CC,TI,CE,RC,PA,MS,AS"</formula1>
    </dataValidation>
    <dataValidation sqref="G152" showDropDown="0" showInputMessage="0" showErrorMessage="0" allowBlank="1" type="list">
      <formula1>"01,02,03,04"</formula1>
    </dataValidation>
    <dataValidation sqref="I152" showDropDown="0" showInputMessage="0" showErrorMessage="0" allowBlank="1" type="list">
      <formula1>"M,F"</formula1>
    </dataValidation>
    <dataValidation sqref="L152" showDropDown="0" showInputMessage="0" showErrorMessage="0" allowBlank="1" type="list">
      <formula1>"01,02"</formula1>
    </dataValidation>
    <dataValidation sqref="M152" showDropDown="0" showInputMessage="0" showErrorMessage="0" allowBlank="1" type="list">
      <formula1>"SI,NO"</formula1>
    </dataValidation>
    <dataValidation sqref="X152" showDropDown="0" showInputMessage="0" showErrorMessage="0" allowBlank="1" type="list">
      <formula1>"Sí,No"</formula1>
    </dataValidation>
    <dataValidation sqref="B153" showDropDown="0" showInputMessage="0" showErrorMessage="0" allowBlank="1" type="list">
      <formula1>"CC,TI,CE,RC,PA,MS,AS"</formula1>
    </dataValidation>
    <dataValidation sqref="G153" showDropDown="0" showInputMessage="0" showErrorMessage="0" allowBlank="1" type="list">
      <formula1>"01,02,03,04"</formula1>
    </dataValidation>
    <dataValidation sqref="I153" showDropDown="0" showInputMessage="0" showErrorMessage="0" allowBlank="1" type="list">
      <formula1>"M,F"</formula1>
    </dataValidation>
    <dataValidation sqref="L153" showDropDown="0" showInputMessage="0" showErrorMessage="0" allowBlank="1" type="list">
      <formula1>"01,02"</formula1>
    </dataValidation>
    <dataValidation sqref="M153" showDropDown="0" showInputMessage="0" showErrorMessage="0" allowBlank="1" type="list">
      <formula1>"SI,NO"</formula1>
    </dataValidation>
    <dataValidation sqref="X153" showDropDown="0" showInputMessage="0" showErrorMessage="0" allowBlank="1" type="list">
      <formula1>"Sí,No"</formula1>
    </dataValidation>
    <dataValidation sqref="B154" showDropDown="0" showInputMessage="0" showErrorMessage="0" allowBlank="1" type="list">
      <formula1>"CC,TI,CE,RC,PA,MS,AS"</formula1>
    </dataValidation>
    <dataValidation sqref="G154" showDropDown="0" showInputMessage="0" showErrorMessage="0" allowBlank="1" type="list">
      <formula1>"01,02,03,04"</formula1>
    </dataValidation>
    <dataValidation sqref="I154" showDropDown="0" showInputMessage="0" showErrorMessage="0" allowBlank="1" type="list">
      <formula1>"M,F"</formula1>
    </dataValidation>
    <dataValidation sqref="L154" showDropDown="0" showInputMessage="0" showErrorMessage="0" allowBlank="1" type="list">
      <formula1>"01,02"</formula1>
    </dataValidation>
    <dataValidation sqref="M154" showDropDown="0" showInputMessage="0" showErrorMessage="0" allowBlank="1" type="list">
      <formula1>"SI,NO"</formula1>
    </dataValidation>
    <dataValidation sqref="X154" showDropDown="0" showInputMessage="0" showErrorMessage="0" allowBlank="1" type="list">
      <formula1>"Sí,No"</formula1>
    </dataValidation>
    <dataValidation sqref="B155" showDropDown="0" showInputMessage="0" showErrorMessage="0" allowBlank="1" type="list">
      <formula1>"CC,TI,CE,RC,PA,MS,AS"</formula1>
    </dataValidation>
    <dataValidation sqref="G155" showDropDown="0" showInputMessage="0" showErrorMessage="0" allowBlank="1" type="list">
      <formula1>"01,02,03,04"</formula1>
    </dataValidation>
    <dataValidation sqref="I155" showDropDown="0" showInputMessage="0" showErrorMessage="0" allowBlank="1" type="list">
      <formula1>"M,F"</formula1>
    </dataValidation>
    <dataValidation sqref="L155" showDropDown="0" showInputMessage="0" showErrorMessage="0" allowBlank="1" type="list">
      <formula1>"01,02"</formula1>
    </dataValidation>
    <dataValidation sqref="M155" showDropDown="0" showInputMessage="0" showErrorMessage="0" allowBlank="1" type="list">
      <formula1>"SI,NO"</formula1>
    </dataValidation>
    <dataValidation sqref="X155" showDropDown="0" showInputMessage="0" showErrorMessage="0" allowBlank="1" type="list">
      <formula1>"Sí,No"</formula1>
    </dataValidation>
    <dataValidation sqref="B156" showDropDown="0" showInputMessage="0" showErrorMessage="0" allowBlank="1" type="list">
      <formula1>"CC,TI,CE,RC,PA,MS,AS"</formula1>
    </dataValidation>
    <dataValidation sqref="G156" showDropDown="0" showInputMessage="0" showErrorMessage="0" allowBlank="1" type="list">
      <formula1>"01,02,03,04"</formula1>
    </dataValidation>
    <dataValidation sqref="I156" showDropDown="0" showInputMessage="0" showErrorMessage="0" allowBlank="1" type="list">
      <formula1>"M,F"</formula1>
    </dataValidation>
    <dataValidation sqref="L156" showDropDown="0" showInputMessage="0" showErrorMessage="0" allowBlank="1" type="list">
      <formula1>"01,02"</formula1>
    </dataValidation>
    <dataValidation sqref="M156" showDropDown="0" showInputMessage="0" showErrorMessage="0" allowBlank="1" type="list">
      <formula1>"SI,NO"</formula1>
    </dataValidation>
    <dataValidation sqref="X156" showDropDown="0" showInputMessage="0" showErrorMessage="0" allowBlank="1" type="list">
      <formula1>"Sí,No"</formula1>
    </dataValidation>
    <dataValidation sqref="B157" showDropDown="0" showInputMessage="0" showErrorMessage="0" allowBlank="1" type="list">
      <formula1>"CC,TI,CE,RC,PA,MS,AS"</formula1>
    </dataValidation>
    <dataValidation sqref="G157" showDropDown="0" showInputMessage="0" showErrorMessage="0" allowBlank="1" type="list">
      <formula1>"01,02,03,04"</formula1>
    </dataValidation>
    <dataValidation sqref="I157" showDropDown="0" showInputMessage="0" showErrorMessage="0" allowBlank="1" type="list">
      <formula1>"M,F"</formula1>
    </dataValidation>
    <dataValidation sqref="L157" showDropDown="0" showInputMessage="0" showErrorMessage="0" allowBlank="1" type="list">
      <formula1>"01,02"</formula1>
    </dataValidation>
    <dataValidation sqref="M157" showDropDown="0" showInputMessage="0" showErrorMessage="0" allowBlank="1" type="list">
      <formula1>"SI,NO"</formula1>
    </dataValidation>
    <dataValidation sqref="X157" showDropDown="0" showInputMessage="0" showErrorMessage="0" allowBlank="1" type="list">
      <formula1>"Sí,No"</formula1>
    </dataValidation>
    <dataValidation sqref="B158" showDropDown="0" showInputMessage="0" showErrorMessage="0" allowBlank="1" type="list">
      <formula1>"CC,TI,CE,RC,PA,MS,AS"</formula1>
    </dataValidation>
    <dataValidation sqref="G158" showDropDown="0" showInputMessage="0" showErrorMessage="0" allowBlank="1" type="list">
      <formula1>"01,02,03,04"</formula1>
    </dataValidation>
    <dataValidation sqref="I158" showDropDown="0" showInputMessage="0" showErrorMessage="0" allowBlank="1" type="list">
      <formula1>"M,F"</formula1>
    </dataValidation>
    <dataValidation sqref="L158" showDropDown="0" showInputMessage="0" showErrorMessage="0" allowBlank="1" type="list">
      <formula1>"01,02"</formula1>
    </dataValidation>
    <dataValidation sqref="M158" showDropDown="0" showInputMessage="0" showErrorMessage="0" allowBlank="1" type="list">
      <formula1>"SI,NO"</formula1>
    </dataValidation>
    <dataValidation sqref="X158" showDropDown="0" showInputMessage="0" showErrorMessage="0" allowBlank="1" type="list">
      <formula1>"Sí,No"</formula1>
    </dataValidation>
    <dataValidation sqref="B159" showDropDown="0" showInputMessage="0" showErrorMessage="0" allowBlank="1" type="list">
      <formula1>"CC,TI,CE,RC,PA,MS,AS"</formula1>
    </dataValidation>
    <dataValidation sqref="G159" showDropDown="0" showInputMessage="0" showErrorMessage="0" allowBlank="1" type="list">
      <formula1>"01,02,03,04"</formula1>
    </dataValidation>
    <dataValidation sqref="I159" showDropDown="0" showInputMessage="0" showErrorMessage="0" allowBlank="1" type="list">
      <formula1>"M,F"</formula1>
    </dataValidation>
    <dataValidation sqref="L159" showDropDown="0" showInputMessage="0" showErrorMessage="0" allowBlank="1" type="list">
      <formula1>"01,02"</formula1>
    </dataValidation>
    <dataValidation sqref="M159" showDropDown="0" showInputMessage="0" showErrorMessage="0" allowBlank="1" type="list">
      <formula1>"SI,NO"</formula1>
    </dataValidation>
    <dataValidation sqref="X159" showDropDown="0" showInputMessage="0" showErrorMessage="0" allowBlank="1" type="list">
      <formula1>"Sí,No"</formula1>
    </dataValidation>
    <dataValidation sqref="B160" showDropDown="0" showInputMessage="0" showErrorMessage="0" allowBlank="1" type="list">
      <formula1>"CC,TI,CE,RC,PA,MS,AS"</formula1>
    </dataValidation>
    <dataValidation sqref="G160" showDropDown="0" showInputMessage="0" showErrorMessage="0" allowBlank="1" type="list">
      <formula1>"01,02,03,04"</formula1>
    </dataValidation>
    <dataValidation sqref="I160" showDropDown="0" showInputMessage="0" showErrorMessage="0" allowBlank="1" type="list">
      <formula1>"M,F"</formula1>
    </dataValidation>
    <dataValidation sqref="L160" showDropDown="0" showInputMessage="0" showErrorMessage="0" allowBlank="1" type="list">
      <formula1>"01,02"</formula1>
    </dataValidation>
    <dataValidation sqref="M160" showDropDown="0" showInputMessage="0" showErrorMessage="0" allowBlank="1" type="list">
      <formula1>"SI,NO"</formula1>
    </dataValidation>
    <dataValidation sqref="X160" showDropDown="0" showInputMessage="0" showErrorMessage="0" allowBlank="1" type="list">
      <formula1>"Sí,No"</formula1>
    </dataValidation>
    <dataValidation sqref="B161" showDropDown="0" showInputMessage="0" showErrorMessage="0" allowBlank="1" type="list">
      <formula1>"CC,TI,CE,RC,PA,MS,AS"</formula1>
    </dataValidation>
    <dataValidation sqref="G161" showDropDown="0" showInputMessage="0" showErrorMessage="0" allowBlank="1" type="list">
      <formula1>"01,02,03,04"</formula1>
    </dataValidation>
    <dataValidation sqref="I161" showDropDown="0" showInputMessage="0" showErrorMessage="0" allowBlank="1" type="list">
      <formula1>"M,F"</formula1>
    </dataValidation>
    <dataValidation sqref="L161" showDropDown="0" showInputMessage="0" showErrorMessage="0" allowBlank="1" type="list">
      <formula1>"01,02"</formula1>
    </dataValidation>
    <dataValidation sqref="M161" showDropDown="0" showInputMessage="0" showErrorMessage="0" allowBlank="1" type="list">
      <formula1>"SI,NO"</formula1>
    </dataValidation>
    <dataValidation sqref="X161" showDropDown="0" showInputMessage="0" showErrorMessage="0" allowBlank="1" type="list">
      <formula1>"Sí,No"</formula1>
    </dataValidation>
    <dataValidation sqref="B162" showDropDown="0" showInputMessage="0" showErrorMessage="0" allowBlank="1" type="list">
      <formula1>"CC,TI,CE,RC,PA,MS,AS"</formula1>
    </dataValidation>
    <dataValidation sqref="G162" showDropDown="0" showInputMessage="0" showErrorMessage="0" allowBlank="1" type="list">
      <formula1>"01,02,03,04"</formula1>
    </dataValidation>
    <dataValidation sqref="I162" showDropDown="0" showInputMessage="0" showErrorMessage="0" allowBlank="1" type="list">
      <formula1>"M,F"</formula1>
    </dataValidation>
    <dataValidation sqref="L162" showDropDown="0" showInputMessage="0" showErrorMessage="0" allowBlank="1" type="list">
      <formula1>"01,02"</formula1>
    </dataValidation>
    <dataValidation sqref="M162" showDropDown="0" showInputMessage="0" showErrorMessage="0" allowBlank="1" type="list">
      <formula1>"SI,NO"</formula1>
    </dataValidation>
    <dataValidation sqref="X162" showDropDown="0" showInputMessage="0" showErrorMessage="0" allowBlank="1" type="list">
      <formula1>"Sí,No"</formula1>
    </dataValidation>
    <dataValidation sqref="B163" showDropDown="0" showInputMessage="0" showErrorMessage="0" allowBlank="1" type="list">
      <formula1>"CC,TI,CE,RC,PA,MS,AS"</formula1>
    </dataValidation>
    <dataValidation sqref="G163" showDropDown="0" showInputMessage="0" showErrorMessage="0" allowBlank="1" type="list">
      <formula1>"01,02,03,04"</formula1>
    </dataValidation>
    <dataValidation sqref="I163" showDropDown="0" showInputMessage="0" showErrorMessage="0" allowBlank="1" type="list">
      <formula1>"M,F"</formula1>
    </dataValidation>
    <dataValidation sqref="L163" showDropDown="0" showInputMessage="0" showErrorMessage="0" allowBlank="1" type="list">
      <formula1>"01,02"</formula1>
    </dataValidation>
    <dataValidation sqref="M163" showDropDown="0" showInputMessage="0" showErrorMessage="0" allowBlank="1" type="list">
      <formula1>"SI,NO"</formula1>
    </dataValidation>
    <dataValidation sqref="X163" showDropDown="0" showInputMessage="0" showErrorMessage="0" allowBlank="1" type="list">
      <formula1>"Sí,No"</formula1>
    </dataValidation>
    <dataValidation sqref="B164" showDropDown="0" showInputMessage="0" showErrorMessage="0" allowBlank="1" type="list">
      <formula1>"CC,TI,CE,RC,PA,MS,AS"</formula1>
    </dataValidation>
    <dataValidation sqref="G164" showDropDown="0" showInputMessage="0" showErrorMessage="0" allowBlank="1" type="list">
      <formula1>"01,02,03,04"</formula1>
    </dataValidation>
    <dataValidation sqref="I164" showDropDown="0" showInputMessage="0" showErrorMessage="0" allowBlank="1" type="list">
      <formula1>"M,F"</formula1>
    </dataValidation>
    <dataValidation sqref="L164" showDropDown="0" showInputMessage="0" showErrorMessage="0" allowBlank="1" type="list">
      <formula1>"01,02"</formula1>
    </dataValidation>
    <dataValidation sqref="M164" showDropDown="0" showInputMessage="0" showErrorMessage="0" allowBlank="1" type="list">
      <formula1>"SI,NO"</formula1>
    </dataValidation>
    <dataValidation sqref="X164" showDropDown="0" showInputMessage="0" showErrorMessage="0" allowBlank="1" type="list">
      <formula1>"Sí,No"</formula1>
    </dataValidation>
    <dataValidation sqref="B165" showDropDown="0" showInputMessage="0" showErrorMessage="0" allowBlank="1" type="list">
      <formula1>"CC,TI,CE,RC,PA,MS,AS"</formula1>
    </dataValidation>
    <dataValidation sqref="G165" showDropDown="0" showInputMessage="0" showErrorMessage="0" allowBlank="1" type="list">
      <formula1>"01,02,03,04"</formula1>
    </dataValidation>
    <dataValidation sqref="I165" showDropDown="0" showInputMessage="0" showErrorMessage="0" allowBlank="1" type="list">
      <formula1>"M,F"</formula1>
    </dataValidation>
    <dataValidation sqref="L165" showDropDown="0" showInputMessage="0" showErrorMessage="0" allowBlank="1" type="list">
      <formula1>"01,02"</formula1>
    </dataValidation>
    <dataValidation sqref="M165" showDropDown="0" showInputMessage="0" showErrorMessage="0" allowBlank="1" type="list">
      <formula1>"SI,NO"</formula1>
    </dataValidation>
    <dataValidation sqref="X165" showDropDown="0" showInputMessage="0" showErrorMessage="0" allowBlank="1" type="list">
      <formula1>"Sí,No"</formula1>
    </dataValidation>
    <dataValidation sqref="B166" showDropDown="0" showInputMessage="0" showErrorMessage="0" allowBlank="1" type="list">
      <formula1>"CC,TI,CE,RC,PA,MS,AS"</formula1>
    </dataValidation>
    <dataValidation sqref="G166" showDropDown="0" showInputMessage="0" showErrorMessage="0" allowBlank="1" type="list">
      <formula1>"01,02,03,04"</formula1>
    </dataValidation>
    <dataValidation sqref="I166" showDropDown="0" showInputMessage="0" showErrorMessage="0" allowBlank="1" type="list">
      <formula1>"M,F"</formula1>
    </dataValidation>
    <dataValidation sqref="L166" showDropDown="0" showInputMessage="0" showErrorMessage="0" allowBlank="1" type="list">
      <formula1>"01,02"</formula1>
    </dataValidation>
    <dataValidation sqref="M166" showDropDown="0" showInputMessage="0" showErrorMessage="0" allowBlank="1" type="list">
      <formula1>"SI,NO"</formula1>
    </dataValidation>
    <dataValidation sqref="X166" showDropDown="0" showInputMessage="0" showErrorMessage="0" allowBlank="1" type="list">
      <formula1>"Sí,No"</formula1>
    </dataValidation>
    <dataValidation sqref="B167" showDropDown="0" showInputMessage="0" showErrorMessage="0" allowBlank="1" type="list">
      <formula1>"CC,TI,CE,RC,PA,MS,AS"</formula1>
    </dataValidation>
    <dataValidation sqref="G167" showDropDown="0" showInputMessage="0" showErrorMessage="0" allowBlank="1" type="list">
      <formula1>"01,02,03,04"</formula1>
    </dataValidation>
    <dataValidation sqref="I167" showDropDown="0" showInputMessage="0" showErrorMessage="0" allowBlank="1" type="list">
      <formula1>"M,F"</formula1>
    </dataValidation>
    <dataValidation sqref="L167" showDropDown="0" showInputMessage="0" showErrorMessage="0" allowBlank="1" type="list">
      <formula1>"01,02"</formula1>
    </dataValidation>
    <dataValidation sqref="M167" showDropDown="0" showInputMessage="0" showErrorMessage="0" allowBlank="1" type="list">
      <formula1>"SI,NO"</formula1>
    </dataValidation>
    <dataValidation sqref="X167" showDropDown="0" showInputMessage="0" showErrorMessage="0" allowBlank="1" type="list">
      <formula1>"Sí,No"</formula1>
    </dataValidation>
    <dataValidation sqref="B168" showDropDown="0" showInputMessage="0" showErrorMessage="0" allowBlank="1" type="list">
      <formula1>"CC,TI,CE,RC,PA,MS,AS"</formula1>
    </dataValidation>
    <dataValidation sqref="G168" showDropDown="0" showInputMessage="0" showErrorMessage="0" allowBlank="1" type="list">
      <formula1>"01,02,03,04"</formula1>
    </dataValidation>
    <dataValidation sqref="I168" showDropDown="0" showInputMessage="0" showErrorMessage="0" allowBlank="1" type="list">
      <formula1>"M,F"</formula1>
    </dataValidation>
    <dataValidation sqref="L168" showDropDown="0" showInputMessage="0" showErrorMessage="0" allowBlank="1" type="list">
      <formula1>"01,02"</formula1>
    </dataValidation>
    <dataValidation sqref="M168" showDropDown="0" showInputMessage="0" showErrorMessage="0" allowBlank="1" type="list">
      <formula1>"SI,NO"</formula1>
    </dataValidation>
    <dataValidation sqref="X168" showDropDown="0" showInputMessage="0" showErrorMessage="0" allowBlank="1" type="list">
      <formula1>"Sí,No"</formula1>
    </dataValidation>
    <dataValidation sqref="B169" showDropDown="0" showInputMessage="0" showErrorMessage="0" allowBlank="1" type="list">
      <formula1>"CC,TI,CE,RC,PA,MS,AS"</formula1>
    </dataValidation>
    <dataValidation sqref="G169" showDropDown="0" showInputMessage="0" showErrorMessage="0" allowBlank="1" type="list">
      <formula1>"01,02,03,04"</formula1>
    </dataValidation>
    <dataValidation sqref="I169" showDropDown="0" showInputMessage="0" showErrorMessage="0" allowBlank="1" type="list">
      <formula1>"M,F"</formula1>
    </dataValidation>
    <dataValidation sqref="L169" showDropDown="0" showInputMessage="0" showErrorMessage="0" allowBlank="1" type="list">
      <formula1>"01,02"</formula1>
    </dataValidation>
    <dataValidation sqref="M169" showDropDown="0" showInputMessage="0" showErrorMessage="0" allowBlank="1" type="list">
      <formula1>"SI,NO"</formula1>
    </dataValidation>
    <dataValidation sqref="X169" showDropDown="0" showInputMessage="0" showErrorMessage="0" allowBlank="1" type="list">
      <formula1>"Sí,No"</formula1>
    </dataValidation>
    <dataValidation sqref="B170" showDropDown="0" showInputMessage="0" showErrorMessage="0" allowBlank="1" type="list">
      <formula1>"CC,TI,CE,RC,PA,MS,AS"</formula1>
    </dataValidation>
    <dataValidation sqref="G170" showDropDown="0" showInputMessage="0" showErrorMessage="0" allowBlank="1" type="list">
      <formula1>"01,02,03,04"</formula1>
    </dataValidation>
    <dataValidation sqref="I170" showDropDown="0" showInputMessage="0" showErrorMessage="0" allowBlank="1" type="list">
      <formula1>"M,F"</formula1>
    </dataValidation>
    <dataValidation sqref="L170" showDropDown="0" showInputMessage="0" showErrorMessage="0" allowBlank="1" type="list">
      <formula1>"01,02"</formula1>
    </dataValidation>
    <dataValidation sqref="M170" showDropDown="0" showInputMessage="0" showErrorMessage="0" allowBlank="1" type="list">
      <formula1>"SI,NO"</formula1>
    </dataValidation>
    <dataValidation sqref="X170" showDropDown="0" showInputMessage="0" showErrorMessage="0" allowBlank="1" type="list">
      <formula1>"Sí,No"</formula1>
    </dataValidation>
    <dataValidation sqref="B171" showDropDown="0" showInputMessage="0" showErrorMessage="0" allowBlank="1" type="list">
      <formula1>"CC,TI,CE,RC,PA,MS,AS"</formula1>
    </dataValidation>
    <dataValidation sqref="G171" showDropDown="0" showInputMessage="0" showErrorMessage="0" allowBlank="1" type="list">
      <formula1>"01,02,03,04"</formula1>
    </dataValidation>
    <dataValidation sqref="I171" showDropDown="0" showInputMessage="0" showErrorMessage="0" allowBlank="1" type="list">
      <formula1>"M,F"</formula1>
    </dataValidation>
    <dataValidation sqref="L171" showDropDown="0" showInputMessage="0" showErrorMessage="0" allowBlank="1" type="list">
      <formula1>"01,02"</formula1>
    </dataValidation>
    <dataValidation sqref="M171" showDropDown="0" showInputMessage="0" showErrorMessage="0" allowBlank="1" type="list">
      <formula1>"SI,NO"</formula1>
    </dataValidation>
    <dataValidation sqref="X171" showDropDown="0" showInputMessage="0" showErrorMessage="0" allowBlank="1" type="list">
      <formula1>"Sí,No"</formula1>
    </dataValidation>
    <dataValidation sqref="B172" showDropDown="0" showInputMessage="0" showErrorMessage="0" allowBlank="1" type="list">
      <formula1>"CC,TI,CE,RC,PA,MS,AS"</formula1>
    </dataValidation>
    <dataValidation sqref="G172" showDropDown="0" showInputMessage="0" showErrorMessage="0" allowBlank="1" type="list">
      <formula1>"01,02,03,04"</formula1>
    </dataValidation>
    <dataValidation sqref="I172" showDropDown="0" showInputMessage="0" showErrorMessage="0" allowBlank="1" type="list">
      <formula1>"M,F"</formula1>
    </dataValidation>
    <dataValidation sqref="L172" showDropDown="0" showInputMessage="0" showErrorMessage="0" allowBlank="1" type="list">
      <formula1>"01,02"</formula1>
    </dataValidation>
    <dataValidation sqref="M172" showDropDown="0" showInputMessage="0" showErrorMessage="0" allowBlank="1" type="list">
      <formula1>"SI,NO"</formula1>
    </dataValidation>
    <dataValidation sqref="X172" showDropDown="0" showInputMessage="0" showErrorMessage="0" allowBlank="1" type="list">
      <formula1>"Sí,No"</formula1>
    </dataValidation>
    <dataValidation sqref="B173" showDropDown="0" showInputMessage="0" showErrorMessage="0" allowBlank="1" type="list">
      <formula1>"CC,TI,CE,RC,PA,MS,AS"</formula1>
    </dataValidation>
    <dataValidation sqref="G173" showDropDown="0" showInputMessage="0" showErrorMessage="0" allowBlank="1" type="list">
      <formula1>"01,02,03,04"</formula1>
    </dataValidation>
    <dataValidation sqref="I173" showDropDown="0" showInputMessage="0" showErrorMessage="0" allowBlank="1" type="list">
      <formula1>"M,F"</formula1>
    </dataValidation>
    <dataValidation sqref="L173" showDropDown="0" showInputMessage="0" showErrorMessage="0" allowBlank="1" type="list">
      <formula1>"01,02"</formula1>
    </dataValidation>
    <dataValidation sqref="M173" showDropDown="0" showInputMessage="0" showErrorMessage="0" allowBlank="1" type="list">
      <formula1>"SI,NO"</formula1>
    </dataValidation>
    <dataValidation sqref="X173" showDropDown="0" showInputMessage="0" showErrorMessage="0" allowBlank="1" type="list">
      <formula1>"Sí,No"</formula1>
    </dataValidation>
    <dataValidation sqref="B174" showDropDown="0" showInputMessage="0" showErrorMessage="0" allowBlank="1" type="list">
      <formula1>"CC,TI,CE,RC,PA,MS,AS"</formula1>
    </dataValidation>
    <dataValidation sqref="G174" showDropDown="0" showInputMessage="0" showErrorMessage="0" allowBlank="1" type="list">
      <formula1>"01,02,03,04"</formula1>
    </dataValidation>
    <dataValidation sqref="I174" showDropDown="0" showInputMessage="0" showErrorMessage="0" allowBlank="1" type="list">
      <formula1>"M,F"</formula1>
    </dataValidation>
    <dataValidation sqref="L174" showDropDown="0" showInputMessage="0" showErrorMessage="0" allowBlank="1" type="list">
      <formula1>"01,02"</formula1>
    </dataValidation>
    <dataValidation sqref="M174" showDropDown="0" showInputMessage="0" showErrorMessage="0" allowBlank="1" type="list">
      <formula1>"SI,NO"</formula1>
    </dataValidation>
    <dataValidation sqref="X174" showDropDown="0" showInputMessage="0" showErrorMessage="0" allowBlank="1" type="list">
      <formula1>"Sí,No"</formula1>
    </dataValidation>
    <dataValidation sqref="B175" showDropDown="0" showInputMessage="0" showErrorMessage="0" allowBlank="1" type="list">
      <formula1>"CC,TI,CE,RC,PA,MS,AS"</formula1>
    </dataValidation>
    <dataValidation sqref="G175" showDropDown="0" showInputMessage="0" showErrorMessage="0" allowBlank="1" type="list">
      <formula1>"01,02,03,04"</formula1>
    </dataValidation>
    <dataValidation sqref="I175" showDropDown="0" showInputMessage="0" showErrorMessage="0" allowBlank="1" type="list">
      <formula1>"M,F"</formula1>
    </dataValidation>
    <dataValidation sqref="L175" showDropDown="0" showInputMessage="0" showErrorMessage="0" allowBlank="1" type="list">
      <formula1>"01,02"</formula1>
    </dataValidation>
    <dataValidation sqref="M175" showDropDown="0" showInputMessage="0" showErrorMessage="0" allowBlank="1" type="list">
      <formula1>"SI,NO"</formula1>
    </dataValidation>
    <dataValidation sqref="X175" showDropDown="0" showInputMessage="0" showErrorMessage="0" allowBlank="1" type="list">
      <formula1>"Sí,No"</formula1>
    </dataValidation>
    <dataValidation sqref="B176" showDropDown="0" showInputMessage="0" showErrorMessage="0" allowBlank="1" type="list">
      <formula1>"CC,TI,CE,RC,PA,MS,AS"</formula1>
    </dataValidation>
    <dataValidation sqref="G176" showDropDown="0" showInputMessage="0" showErrorMessage="0" allowBlank="1" type="list">
      <formula1>"01,02,03,04"</formula1>
    </dataValidation>
    <dataValidation sqref="I176" showDropDown="0" showInputMessage="0" showErrorMessage="0" allowBlank="1" type="list">
      <formula1>"M,F"</formula1>
    </dataValidation>
    <dataValidation sqref="L176" showDropDown="0" showInputMessage="0" showErrorMessage="0" allowBlank="1" type="list">
      <formula1>"01,02"</formula1>
    </dataValidation>
    <dataValidation sqref="M176" showDropDown="0" showInputMessage="0" showErrorMessage="0" allowBlank="1" type="list">
      <formula1>"SI,NO"</formula1>
    </dataValidation>
    <dataValidation sqref="X176" showDropDown="0" showInputMessage="0" showErrorMessage="0" allowBlank="1" type="list">
      <formula1>"Sí,No"</formula1>
    </dataValidation>
    <dataValidation sqref="B177" showDropDown="0" showInputMessage="0" showErrorMessage="0" allowBlank="1" type="list">
      <formula1>"CC,TI,CE,RC,PA,MS,AS"</formula1>
    </dataValidation>
    <dataValidation sqref="G177" showDropDown="0" showInputMessage="0" showErrorMessage="0" allowBlank="1" type="list">
      <formula1>"01,02,03,04"</formula1>
    </dataValidation>
    <dataValidation sqref="I177" showDropDown="0" showInputMessage="0" showErrorMessage="0" allowBlank="1" type="list">
      <formula1>"M,F"</formula1>
    </dataValidation>
    <dataValidation sqref="L177" showDropDown="0" showInputMessage="0" showErrorMessage="0" allowBlank="1" type="list">
      <formula1>"01,02"</formula1>
    </dataValidation>
    <dataValidation sqref="M177" showDropDown="0" showInputMessage="0" showErrorMessage="0" allowBlank="1" type="list">
      <formula1>"SI,NO"</formula1>
    </dataValidation>
    <dataValidation sqref="X177" showDropDown="0" showInputMessage="0" showErrorMessage="0" allowBlank="1" type="list">
      <formula1>"Sí,No"</formula1>
    </dataValidation>
    <dataValidation sqref="B178" showDropDown="0" showInputMessage="0" showErrorMessage="0" allowBlank="1" type="list">
      <formula1>"CC,TI,CE,RC,PA,MS,AS"</formula1>
    </dataValidation>
    <dataValidation sqref="G178" showDropDown="0" showInputMessage="0" showErrorMessage="0" allowBlank="1" type="list">
      <formula1>"01,02,03,04"</formula1>
    </dataValidation>
    <dataValidation sqref="I178" showDropDown="0" showInputMessage="0" showErrorMessage="0" allowBlank="1" type="list">
      <formula1>"M,F"</formula1>
    </dataValidation>
    <dataValidation sqref="L178" showDropDown="0" showInputMessage="0" showErrorMessage="0" allowBlank="1" type="list">
      <formula1>"01,02"</formula1>
    </dataValidation>
    <dataValidation sqref="M178" showDropDown="0" showInputMessage="0" showErrorMessage="0" allowBlank="1" type="list">
      <formula1>"SI,NO"</formula1>
    </dataValidation>
    <dataValidation sqref="X178" showDropDown="0" showInputMessage="0" showErrorMessage="0" allowBlank="1" type="list">
      <formula1>"Sí,No"</formula1>
    </dataValidation>
    <dataValidation sqref="B179" showDropDown="0" showInputMessage="0" showErrorMessage="0" allowBlank="1" type="list">
      <formula1>"CC,TI,CE,RC,PA,MS,AS"</formula1>
    </dataValidation>
    <dataValidation sqref="G179" showDropDown="0" showInputMessage="0" showErrorMessage="0" allowBlank="1" type="list">
      <formula1>"01,02,03,04"</formula1>
    </dataValidation>
    <dataValidation sqref="I179" showDropDown="0" showInputMessage="0" showErrorMessage="0" allowBlank="1" type="list">
      <formula1>"M,F"</formula1>
    </dataValidation>
    <dataValidation sqref="L179" showDropDown="0" showInputMessage="0" showErrorMessage="0" allowBlank="1" type="list">
      <formula1>"01,02"</formula1>
    </dataValidation>
    <dataValidation sqref="M179" showDropDown="0" showInputMessage="0" showErrorMessage="0" allowBlank="1" type="list">
      <formula1>"SI,NO"</formula1>
    </dataValidation>
    <dataValidation sqref="X179" showDropDown="0" showInputMessage="0" showErrorMessage="0" allowBlank="1" type="list">
      <formula1>"Sí,No"</formula1>
    </dataValidation>
    <dataValidation sqref="B180" showDropDown="0" showInputMessage="0" showErrorMessage="0" allowBlank="1" type="list">
      <formula1>"CC,TI,CE,RC,PA,MS,AS"</formula1>
    </dataValidation>
    <dataValidation sqref="G180" showDropDown="0" showInputMessage="0" showErrorMessage="0" allowBlank="1" type="list">
      <formula1>"01,02,03,04"</formula1>
    </dataValidation>
    <dataValidation sqref="I180" showDropDown="0" showInputMessage="0" showErrorMessage="0" allowBlank="1" type="list">
      <formula1>"M,F"</formula1>
    </dataValidation>
    <dataValidation sqref="L180" showDropDown="0" showInputMessage="0" showErrorMessage="0" allowBlank="1" type="list">
      <formula1>"01,02"</formula1>
    </dataValidation>
    <dataValidation sqref="M180" showDropDown="0" showInputMessage="0" showErrorMessage="0" allowBlank="1" type="list">
      <formula1>"SI,NO"</formula1>
    </dataValidation>
    <dataValidation sqref="X180" showDropDown="0" showInputMessage="0" showErrorMessage="0" allowBlank="1" type="list">
      <formula1>"Sí,No"</formula1>
    </dataValidation>
    <dataValidation sqref="B181" showDropDown="0" showInputMessage="0" showErrorMessage="0" allowBlank="1" type="list">
      <formula1>"CC,TI,CE,RC,PA,MS,AS"</formula1>
    </dataValidation>
    <dataValidation sqref="G181" showDropDown="0" showInputMessage="0" showErrorMessage="0" allowBlank="1" type="list">
      <formula1>"01,02,03,04"</formula1>
    </dataValidation>
    <dataValidation sqref="I181" showDropDown="0" showInputMessage="0" showErrorMessage="0" allowBlank="1" type="list">
      <formula1>"M,F"</formula1>
    </dataValidation>
    <dataValidation sqref="L181" showDropDown="0" showInputMessage="0" showErrorMessage="0" allowBlank="1" type="list">
      <formula1>"01,02"</formula1>
    </dataValidation>
    <dataValidation sqref="M181" showDropDown="0" showInputMessage="0" showErrorMessage="0" allowBlank="1" type="list">
      <formula1>"SI,NO"</formula1>
    </dataValidation>
    <dataValidation sqref="X181" showDropDown="0" showInputMessage="0" showErrorMessage="0" allowBlank="1" type="list">
      <formula1>"Sí,No"</formula1>
    </dataValidation>
    <dataValidation sqref="B182" showDropDown="0" showInputMessage="0" showErrorMessage="0" allowBlank="1" type="list">
      <formula1>"CC,TI,CE,RC,PA,MS,AS"</formula1>
    </dataValidation>
    <dataValidation sqref="G182" showDropDown="0" showInputMessage="0" showErrorMessage="0" allowBlank="1" type="list">
      <formula1>"01,02,03,04"</formula1>
    </dataValidation>
    <dataValidation sqref="I182" showDropDown="0" showInputMessage="0" showErrorMessage="0" allowBlank="1" type="list">
      <formula1>"M,F"</formula1>
    </dataValidation>
    <dataValidation sqref="L182" showDropDown="0" showInputMessage="0" showErrorMessage="0" allowBlank="1" type="list">
      <formula1>"01,02"</formula1>
    </dataValidation>
    <dataValidation sqref="M182" showDropDown="0" showInputMessage="0" showErrorMessage="0" allowBlank="1" type="list">
      <formula1>"SI,NO"</formula1>
    </dataValidation>
    <dataValidation sqref="X182" showDropDown="0" showInputMessage="0" showErrorMessage="0" allowBlank="1" type="list">
      <formula1>"Sí,No"</formula1>
    </dataValidation>
    <dataValidation sqref="B183" showDropDown="0" showInputMessage="0" showErrorMessage="0" allowBlank="1" type="list">
      <formula1>"CC,TI,CE,RC,PA,MS,AS"</formula1>
    </dataValidation>
    <dataValidation sqref="G183" showDropDown="0" showInputMessage="0" showErrorMessage="0" allowBlank="1" type="list">
      <formula1>"01,02,03,04"</formula1>
    </dataValidation>
    <dataValidation sqref="I183" showDropDown="0" showInputMessage="0" showErrorMessage="0" allowBlank="1" type="list">
      <formula1>"M,F"</formula1>
    </dataValidation>
    <dataValidation sqref="L183" showDropDown="0" showInputMessage="0" showErrorMessage="0" allowBlank="1" type="list">
      <formula1>"01,02"</formula1>
    </dataValidation>
    <dataValidation sqref="M183" showDropDown="0" showInputMessage="0" showErrorMessage="0" allowBlank="1" type="list">
      <formula1>"SI,NO"</formula1>
    </dataValidation>
    <dataValidation sqref="X183" showDropDown="0" showInputMessage="0" showErrorMessage="0" allowBlank="1" type="list">
      <formula1>"Sí,No"</formula1>
    </dataValidation>
    <dataValidation sqref="B184" showDropDown="0" showInputMessage="0" showErrorMessage="0" allowBlank="1" type="list">
      <formula1>"CC,TI,CE,RC,PA,MS,AS"</formula1>
    </dataValidation>
    <dataValidation sqref="G184" showDropDown="0" showInputMessage="0" showErrorMessage="0" allowBlank="1" type="list">
      <formula1>"01,02,03,04"</formula1>
    </dataValidation>
    <dataValidation sqref="I184" showDropDown="0" showInputMessage="0" showErrorMessage="0" allowBlank="1" type="list">
      <formula1>"M,F"</formula1>
    </dataValidation>
    <dataValidation sqref="L184" showDropDown="0" showInputMessage="0" showErrorMessage="0" allowBlank="1" type="list">
      <formula1>"01,02"</formula1>
    </dataValidation>
    <dataValidation sqref="M184" showDropDown="0" showInputMessage="0" showErrorMessage="0" allowBlank="1" type="list">
      <formula1>"SI,NO"</formula1>
    </dataValidation>
    <dataValidation sqref="X184" showDropDown="0" showInputMessage="0" showErrorMessage="0" allowBlank="1" type="list">
      <formula1>"Sí,No"</formula1>
    </dataValidation>
    <dataValidation sqref="B185" showDropDown="0" showInputMessage="0" showErrorMessage="0" allowBlank="1" type="list">
      <formula1>"CC,TI,CE,RC,PA,MS,AS"</formula1>
    </dataValidation>
    <dataValidation sqref="G185" showDropDown="0" showInputMessage="0" showErrorMessage="0" allowBlank="1" type="list">
      <formula1>"01,02,03,04"</formula1>
    </dataValidation>
    <dataValidation sqref="I185" showDropDown="0" showInputMessage="0" showErrorMessage="0" allowBlank="1" type="list">
      <formula1>"M,F"</formula1>
    </dataValidation>
    <dataValidation sqref="L185" showDropDown="0" showInputMessage="0" showErrorMessage="0" allowBlank="1" type="list">
      <formula1>"01,02"</formula1>
    </dataValidation>
    <dataValidation sqref="M185" showDropDown="0" showInputMessage="0" showErrorMessage="0" allowBlank="1" type="list">
      <formula1>"SI,NO"</formula1>
    </dataValidation>
    <dataValidation sqref="X185" showDropDown="0" showInputMessage="0" showErrorMessage="0" allowBlank="1" type="list">
      <formula1>"Sí,No"</formula1>
    </dataValidation>
    <dataValidation sqref="B186" showDropDown="0" showInputMessage="0" showErrorMessage="0" allowBlank="1" type="list">
      <formula1>"CC,TI,CE,RC,PA,MS,AS"</formula1>
    </dataValidation>
    <dataValidation sqref="G186" showDropDown="0" showInputMessage="0" showErrorMessage="0" allowBlank="1" type="list">
      <formula1>"01,02,03,04"</formula1>
    </dataValidation>
    <dataValidation sqref="I186" showDropDown="0" showInputMessage="0" showErrorMessage="0" allowBlank="1" type="list">
      <formula1>"M,F"</formula1>
    </dataValidation>
    <dataValidation sqref="L186" showDropDown="0" showInputMessage="0" showErrorMessage="0" allowBlank="1" type="list">
      <formula1>"01,02"</formula1>
    </dataValidation>
    <dataValidation sqref="M186" showDropDown="0" showInputMessage="0" showErrorMessage="0" allowBlank="1" type="list">
      <formula1>"SI,NO"</formula1>
    </dataValidation>
    <dataValidation sqref="X186" showDropDown="0" showInputMessage="0" showErrorMessage="0" allowBlank="1" type="list">
      <formula1>"Sí,No"</formula1>
    </dataValidation>
    <dataValidation sqref="B187" showDropDown="0" showInputMessage="0" showErrorMessage="0" allowBlank="1" type="list">
      <formula1>"CC,TI,CE,RC,PA,MS,AS"</formula1>
    </dataValidation>
    <dataValidation sqref="G187" showDropDown="0" showInputMessage="0" showErrorMessage="0" allowBlank="1" type="list">
      <formula1>"01,02,03,04"</formula1>
    </dataValidation>
    <dataValidation sqref="I187" showDropDown="0" showInputMessage="0" showErrorMessage="0" allowBlank="1" type="list">
      <formula1>"M,F"</formula1>
    </dataValidation>
    <dataValidation sqref="L187" showDropDown="0" showInputMessage="0" showErrorMessage="0" allowBlank="1" type="list">
      <formula1>"01,02"</formula1>
    </dataValidation>
    <dataValidation sqref="M187" showDropDown="0" showInputMessage="0" showErrorMessage="0" allowBlank="1" type="list">
      <formula1>"SI,NO"</formula1>
    </dataValidation>
    <dataValidation sqref="X187" showDropDown="0" showInputMessage="0" showErrorMessage="0" allowBlank="1" type="list">
      <formula1>"Sí,No"</formula1>
    </dataValidation>
    <dataValidation sqref="B188" showDropDown="0" showInputMessage="0" showErrorMessage="0" allowBlank="1" type="list">
      <formula1>"CC,TI,CE,RC,PA,MS,AS"</formula1>
    </dataValidation>
    <dataValidation sqref="G188" showDropDown="0" showInputMessage="0" showErrorMessage="0" allowBlank="1" type="list">
      <formula1>"01,02,03,04"</formula1>
    </dataValidation>
    <dataValidation sqref="I188" showDropDown="0" showInputMessage="0" showErrorMessage="0" allowBlank="1" type="list">
      <formula1>"M,F"</formula1>
    </dataValidation>
    <dataValidation sqref="L188" showDropDown="0" showInputMessage="0" showErrorMessage="0" allowBlank="1" type="list">
      <formula1>"01,02"</formula1>
    </dataValidation>
    <dataValidation sqref="M188" showDropDown="0" showInputMessage="0" showErrorMessage="0" allowBlank="1" type="list">
      <formula1>"SI,NO"</formula1>
    </dataValidation>
    <dataValidation sqref="X188" showDropDown="0" showInputMessage="0" showErrorMessage="0" allowBlank="1" type="list">
      <formula1>"Sí,No"</formula1>
    </dataValidation>
    <dataValidation sqref="B189" showDropDown="0" showInputMessage="0" showErrorMessage="0" allowBlank="1" type="list">
      <formula1>"CC,TI,CE,RC,PA,MS,AS"</formula1>
    </dataValidation>
    <dataValidation sqref="G189" showDropDown="0" showInputMessage="0" showErrorMessage="0" allowBlank="1" type="list">
      <formula1>"01,02,03,04"</formula1>
    </dataValidation>
    <dataValidation sqref="I189" showDropDown="0" showInputMessage="0" showErrorMessage="0" allowBlank="1" type="list">
      <formula1>"M,F"</formula1>
    </dataValidation>
    <dataValidation sqref="L189" showDropDown="0" showInputMessage="0" showErrorMessage="0" allowBlank="1" type="list">
      <formula1>"01,02"</formula1>
    </dataValidation>
    <dataValidation sqref="M189" showDropDown="0" showInputMessage="0" showErrorMessage="0" allowBlank="1" type="list">
      <formula1>"SI,NO"</formula1>
    </dataValidation>
    <dataValidation sqref="X189" showDropDown="0" showInputMessage="0" showErrorMessage="0" allowBlank="1" type="list">
      <formula1>"Sí,No"</formula1>
    </dataValidation>
    <dataValidation sqref="B190" showDropDown="0" showInputMessage="0" showErrorMessage="0" allowBlank="1" type="list">
      <formula1>"CC,TI,CE,RC,PA,MS,AS"</formula1>
    </dataValidation>
    <dataValidation sqref="G190" showDropDown="0" showInputMessage="0" showErrorMessage="0" allowBlank="1" type="list">
      <formula1>"01,02,03,04"</formula1>
    </dataValidation>
    <dataValidation sqref="I190" showDropDown="0" showInputMessage="0" showErrorMessage="0" allowBlank="1" type="list">
      <formula1>"M,F"</formula1>
    </dataValidation>
    <dataValidation sqref="L190" showDropDown="0" showInputMessage="0" showErrorMessage="0" allowBlank="1" type="list">
      <formula1>"01,02"</formula1>
    </dataValidation>
    <dataValidation sqref="M190" showDropDown="0" showInputMessage="0" showErrorMessage="0" allowBlank="1" type="list">
      <formula1>"SI,NO"</formula1>
    </dataValidation>
    <dataValidation sqref="X190" showDropDown="0" showInputMessage="0" showErrorMessage="0" allowBlank="1" type="list">
      <formula1>"Sí,No"</formula1>
    </dataValidation>
    <dataValidation sqref="B191" showDropDown="0" showInputMessage="0" showErrorMessage="0" allowBlank="1" type="list">
      <formula1>"CC,TI,CE,RC,PA,MS,AS"</formula1>
    </dataValidation>
    <dataValidation sqref="G191" showDropDown="0" showInputMessage="0" showErrorMessage="0" allowBlank="1" type="list">
      <formula1>"01,02,03,04"</formula1>
    </dataValidation>
    <dataValidation sqref="I191" showDropDown="0" showInputMessage="0" showErrorMessage="0" allowBlank="1" type="list">
      <formula1>"M,F"</formula1>
    </dataValidation>
    <dataValidation sqref="L191" showDropDown="0" showInputMessage="0" showErrorMessage="0" allowBlank="1" type="list">
      <formula1>"01,02"</formula1>
    </dataValidation>
    <dataValidation sqref="M191" showDropDown="0" showInputMessage="0" showErrorMessage="0" allowBlank="1" type="list">
      <formula1>"SI,NO"</formula1>
    </dataValidation>
    <dataValidation sqref="X191" showDropDown="0" showInputMessage="0" showErrorMessage="0" allowBlank="1" type="list">
      <formula1>"Sí,No"</formula1>
    </dataValidation>
    <dataValidation sqref="B192" showDropDown="0" showInputMessage="0" showErrorMessage="0" allowBlank="1" type="list">
      <formula1>"CC,TI,CE,RC,PA,MS,AS"</formula1>
    </dataValidation>
    <dataValidation sqref="G192" showDropDown="0" showInputMessage="0" showErrorMessage="0" allowBlank="1" type="list">
      <formula1>"01,02,03,04"</formula1>
    </dataValidation>
    <dataValidation sqref="I192" showDropDown="0" showInputMessage="0" showErrorMessage="0" allowBlank="1" type="list">
      <formula1>"M,F"</formula1>
    </dataValidation>
    <dataValidation sqref="L192" showDropDown="0" showInputMessage="0" showErrorMessage="0" allowBlank="1" type="list">
      <formula1>"01,02"</formula1>
    </dataValidation>
    <dataValidation sqref="M192" showDropDown="0" showInputMessage="0" showErrorMessage="0" allowBlank="1" type="list">
      <formula1>"SI,NO"</formula1>
    </dataValidation>
    <dataValidation sqref="X192" showDropDown="0" showInputMessage="0" showErrorMessage="0" allowBlank="1" type="list">
      <formula1>"Sí,No"</formula1>
    </dataValidation>
    <dataValidation sqref="B193" showDropDown="0" showInputMessage="0" showErrorMessage="0" allowBlank="1" type="list">
      <formula1>"CC,TI,CE,RC,PA,MS,AS"</formula1>
    </dataValidation>
    <dataValidation sqref="G193" showDropDown="0" showInputMessage="0" showErrorMessage="0" allowBlank="1" type="list">
      <formula1>"01,02,03,04"</formula1>
    </dataValidation>
    <dataValidation sqref="I193" showDropDown="0" showInputMessage="0" showErrorMessage="0" allowBlank="1" type="list">
      <formula1>"M,F"</formula1>
    </dataValidation>
    <dataValidation sqref="L193" showDropDown="0" showInputMessage="0" showErrorMessage="0" allowBlank="1" type="list">
      <formula1>"01,02"</formula1>
    </dataValidation>
    <dataValidation sqref="M193" showDropDown="0" showInputMessage="0" showErrorMessage="0" allowBlank="1" type="list">
      <formula1>"SI,NO"</formula1>
    </dataValidation>
    <dataValidation sqref="X193" showDropDown="0" showInputMessage="0" showErrorMessage="0" allowBlank="1" type="list">
      <formula1>"Sí,No"</formula1>
    </dataValidation>
    <dataValidation sqref="B194" showDropDown="0" showInputMessage="0" showErrorMessage="0" allowBlank="1" type="list">
      <formula1>"CC,TI,CE,RC,PA,MS,AS"</formula1>
    </dataValidation>
    <dataValidation sqref="G194" showDropDown="0" showInputMessage="0" showErrorMessage="0" allowBlank="1" type="list">
      <formula1>"01,02,03,04"</formula1>
    </dataValidation>
    <dataValidation sqref="I194" showDropDown="0" showInputMessage="0" showErrorMessage="0" allowBlank="1" type="list">
      <formula1>"M,F"</formula1>
    </dataValidation>
    <dataValidation sqref="L194" showDropDown="0" showInputMessage="0" showErrorMessage="0" allowBlank="1" type="list">
      <formula1>"01,02"</formula1>
    </dataValidation>
    <dataValidation sqref="M194" showDropDown="0" showInputMessage="0" showErrorMessage="0" allowBlank="1" type="list">
      <formula1>"SI,NO"</formula1>
    </dataValidation>
    <dataValidation sqref="X194" showDropDown="0" showInputMessage="0" showErrorMessage="0" allowBlank="1" type="list">
      <formula1>"Sí,No"</formula1>
    </dataValidation>
    <dataValidation sqref="B195" showDropDown="0" showInputMessage="0" showErrorMessage="0" allowBlank="1" type="list">
      <formula1>"CC,TI,CE,RC,PA,MS,AS"</formula1>
    </dataValidation>
    <dataValidation sqref="G195" showDropDown="0" showInputMessage="0" showErrorMessage="0" allowBlank="1" type="list">
      <formula1>"01,02,03,04"</formula1>
    </dataValidation>
    <dataValidation sqref="I195" showDropDown="0" showInputMessage="0" showErrorMessage="0" allowBlank="1" type="list">
      <formula1>"M,F"</formula1>
    </dataValidation>
    <dataValidation sqref="L195" showDropDown="0" showInputMessage="0" showErrorMessage="0" allowBlank="1" type="list">
      <formula1>"01,02"</formula1>
    </dataValidation>
    <dataValidation sqref="M195" showDropDown="0" showInputMessage="0" showErrorMessage="0" allowBlank="1" type="list">
      <formula1>"SI,NO"</formula1>
    </dataValidation>
    <dataValidation sqref="X195" showDropDown="0" showInputMessage="0" showErrorMessage="0" allowBlank="1" type="list">
      <formula1>"Sí,No"</formula1>
    </dataValidation>
    <dataValidation sqref="B196" showDropDown="0" showInputMessage="0" showErrorMessage="0" allowBlank="1" type="list">
      <formula1>"CC,TI,CE,RC,PA,MS,AS"</formula1>
    </dataValidation>
    <dataValidation sqref="G196" showDropDown="0" showInputMessage="0" showErrorMessage="0" allowBlank="1" type="list">
      <formula1>"01,02,03,04"</formula1>
    </dataValidation>
    <dataValidation sqref="I196" showDropDown="0" showInputMessage="0" showErrorMessage="0" allowBlank="1" type="list">
      <formula1>"M,F"</formula1>
    </dataValidation>
    <dataValidation sqref="L196" showDropDown="0" showInputMessage="0" showErrorMessage="0" allowBlank="1" type="list">
      <formula1>"01,02"</formula1>
    </dataValidation>
    <dataValidation sqref="M196" showDropDown="0" showInputMessage="0" showErrorMessage="0" allowBlank="1" type="list">
      <formula1>"SI,NO"</formula1>
    </dataValidation>
    <dataValidation sqref="X196" showDropDown="0" showInputMessage="0" showErrorMessage="0" allowBlank="1" type="list">
      <formula1>"Sí,No"</formula1>
    </dataValidation>
    <dataValidation sqref="B197" showDropDown="0" showInputMessage="0" showErrorMessage="0" allowBlank="1" type="list">
      <formula1>"CC,TI,CE,RC,PA,MS,AS"</formula1>
    </dataValidation>
    <dataValidation sqref="G197" showDropDown="0" showInputMessage="0" showErrorMessage="0" allowBlank="1" type="list">
      <formula1>"01,02,03,04"</formula1>
    </dataValidation>
    <dataValidation sqref="I197" showDropDown="0" showInputMessage="0" showErrorMessage="0" allowBlank="1" type="list">
      <formula1>"M,F"</formula1>
    </dataValidation>
    <dataValidation sqref="L197" showDropDown="0" showInputMessage="0" showErrorMessage="0" allowBlank="1" type="list">
      <formula1>"01,02"</formula1>
    </dataValidation>
    <dataValidation sqref="M197" showDropDown="0" showInputMessage="0" showErrorMessage="0" allowBlank="1" type="list">
      <formula1>"SI,NO"</formula1>
    </dataValidation>
    <dataValidation sqref="X197" showDropDown="0" showInputMessage="0" showErrorMessage="0" allowBlank="1" type="list">
      <formula1>"Sí,No"</formula1>
    </dataValidation>
    <dataValidation sqref="B198" showDropDown="0" showInputMessage="0" showErrorMessage="0" allowBlank="1" type="list">
      <formula1>"CC,TI,CE,RC,PA,MS,AS"</formula1>
    </dataValidation>
    <dataValidation sqref="G198" showDropDown="0" showInputMessage="0" showErrorMessage="0" allowBlank="1" type="list">
      <formula1>"01,02,03,04"</formula1>
    </dataValidation>
    <dataValidation sqref="I198" showDropDown="0" showInputMessage="0" showErrorMessage="0" allowBlank="1" type="list">
      <formula1>"M,F"</formula1>
    </dataValidation>
    <dataValidation sqref="L198" showDropDown="0" showInputMessage="0" showErrorMessage="0" allowBlank="1" type="list">
      <formula1>"01,02"</formula1>
    </dataValidation>
    <dataValidation sqref="M198" showDropDown="0" showInputMessage="0" showErrorMessage="0" allowBlank="1" type="list">
      <formula1>"SI,NO"</formula1>
    </dataValidation>
    <dataValidation sqref="X198" showDropDown="0" showInputMessage="0" showErrorMessage="0" allowBlank="1" type="list">
      <formula1>"Sí,No"</formula1>
    </dataValidation>
    <dataValidation sqref="B199" showDropDown="0" showInputMessage="0" showErrorMessage="0" allowBlank="1" type="list">
      <formula1>"CC,TI,CE,RC,PA,MS,AS"</formula1>
    </dataValidation>
    <dataValidation sqref="G199" showDropDown="0" showInputMessage="0" showErrorMessage="0" allowBlank="1" type="list">
      <formula1>"01,02,03,04"</formula1>
    </dataValidation>
    <dataValidation sqref="I199" showDropDown="0" showInputMessage="0" showErrorMessage="0" allowBlank="1" type="list">
      <formula1>"M,F"</formula1>
    </dataValidation>
    <dataValidation sqref="L199" showDropDown="0" showInputMessage="0" showErrorMessage="0" allowBlank="1" type="list">
      <formula1>"01,02"</formula1>
    </dataValidation>
    <dataValidation sqref="M199" showDropDown="0" showInputMessage="0" showErrorMessage="0" allowBlank="1" type="list">
      <formula1>"SI,NO"</formula1>
    </dataValidation>
    <dataValidation sqref="X199" showDropDown="0" showInputMessage="0" showErrorMessage="0" allowBlank="1" type="list">
      <formula1>"Sí,No"</formula1>
    </dataValidation>
    <dataValidation sqref="B200" showDropDown="0" showInputMessage="0" showErrorMessage="0" allowBlank="1" type="list">
      <formula1>"CC,TI,CE,RC,PA,MS,AS"</formula1>
    </dataValidation>
    <dataValidation sqref="G200" showDropDown="0" showInputMessage="0" showErrorMessage="0" allowBlank="1" type="list">
      <formula1>"01,02,03,04"</formula1>
    </dataValidation>
    <dataValidation sqref="I200" showDropDown="0" showInputMessage="0" showErrorMessage="0" allowBlank="1" type="list">
      <formula1>"M,F"</formula1>
    </dataValidation>
    <dataValidation sqref="L200" showDropDown="0" showInputMessage="0" showErrorMessage="0" allowBlank="1" type="list">
      <formula1>"01,02"</formula1>
    </dataValidation>
    <dataValidation sqref="M200" showDropDown="0" showInputMessage="0" showErrorMessage="0" allowBlank="1" type="list">
      <formula1>"SI,NO"</formula1>
    </dataValidation>
    <dataValidation sqref="X200" showDropDown="0" showInputMessage="0" showErrorMessage="0" allowBlank="1" type="list">
      <formula1>"Sí,No"</formula1>
    </dataValidation>
    <dataValidation sqref="B201" showDropDown="0" showInputMessage="0" showErrorMessage="0" allowBlank="1" type="list">
      <formula1>"CC,TI,CE,RC,PA,MS,AS"</formula1>
    </dataValidation>
    <dataValidation sqref="G201" showDropDown="0" showInputMessage="0" showErrorMessage="0" allowBlank="1" type="list">
      <formula1>"01,02,03,04"</formula1>
    </dataValidation>
    <dataValidation sqref="I201" showDropDown="0" showInputMessage="0" showErrorMessage="0" allowBlank="1" type="list">
      <formula1>"M,F"</formula1>
    </dataValidation>
    <dataValidation sqref="L201" showDropDown="0" showInputMessage="0" showErrorMessage="0" allowBlank="1" type="list">
      <formula1>"01,02"</formula1>
    </dataValidation>
    <dataValidation sqref="M201" showDropDown="0" showInputMessage="0" showErrorMessage="0" allowBlank="1" type="list">
      <formula1>"SI,NO"</formula1>
    </dataValidation>
    <dataValidation sqref="X201" showDropDown="0" showInputMessage="0" showErrorMessage="0" allowBlank="1" type="list">
      <formula1>"Sí,No"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G1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34" customWidth="1" min="2" max="2"/>
    <col width="8" customWidth="1" min="3" max="3"/>
    <col width="12" customWidth="1" min="4" max="4"/>
    <col width="14" customWidth="1" min="5" max="5"/>
    <col width="14" customWidth="1" min="6" max="6"/>
    <col width="8" customWidth="1" min="7" max="7"/>
  </cols>
  <sheetData>
    <row r="1">
      <c r="A1" s="2" t="inlineStr">
        <is>
          <t>Codigo</t>
        </is>
      </c>
      <c r="B1" s="2" t="inlineStr">
        <is>
          <t>Nombre</t>
        </is>
      </c>
      <c r="C1" s="2" t="inlineStr">
        <is>
          <t>Unidad</t>
        </is>
      </c>
      <c r="D1" s="2" t="inlineStr">
        <is>
          <t>Categoria</t>
        </is>
      </c>
      <c r="E1" s="2" t="inlineStr">
        <is>
          <t>Tolerancia_Pct</t>
        </is>
      </c>
      <c r="F1" s="2" t="inlineStr">
        <is>
          <t>Incluir_Grafica</t>
        </is>
      </c>
      <c r="G1" s="2" t="inlineStr">
        <is>
          <t>Orden</t>
        </is>
      </c>
    </row>
    <row r="2">
      <c r="A2" t="inlineStr">
        <is>
          <t>MASA</t>
        </is>
      </c>
      <c r="B2" t="inlineStr">
        <is>
          <t>Masa corporal</t>
        </is>
      </c>
      <c r="C2" t="inlineStr">
        <is>
          <t>kg</t>
        </is>
      </c>
      <c r="D2" t="inlineStr">
        <is>
          <t>basica</t>
        </is>
      </c>
      <c r="E2" t="n">
        <v>0.01</v>
      </c>
      <c r="F2" t="inlineStr">
        <is>
          <t>Sí</t>
        </is>
      </c>
      <c r="G2" t="n">
        <v>1</v>
      </c>
    </row>
    <row r="3">
      <c r="A3" t="inlineStr">
        <is>
          <t>TALLA</t>
        </is>
      </c>
      <c r="B3" t="inlineStr">
        <is>
          <t>Talla / estatura</t>
        </is>
      </c>
      <c r="C3" t="inlineStr">
        <is>
          <t>cm</t>
        </is>
      </c>
      <c r="D3" t="inlineStr">
        <is>
          <t>basica</t>
        </is>
      </c>
      <c r="E3" t="n">
        <v>0.01</v>
      </c>
      <c r="F3" t="inlineStr">
        <is>
          <t>Sí</t>
        </is>
      </c>
      <c r="G3" t="n">
        <v>2</v>
      </c>
    </row>
    <row r="4">
      <c r="A4" t="inlineStr">
        <is>
          <t>PL_TRICEPS</t>
        </is>
      </c>
      <c r="B4" t="inlineStr">
        <is>
          <t>Pliegue tríceps</t>
        </is>
      </c>
      <c r="C4" t="inlineStr">
        <is>
          <t>mm</t>
        </is>
      </c>
      <c r="D4" t="inlineStr">
        <is>
          <t>pliegue</t>
        </is>
      </c>
      <c r="E4" t="n">
        <v>0.05</v>
      </c>
      <c r="F4" t="inlineStr">
        <is>
          <t>Sí</t>
        </is>
      </c>
      <c r="G4" t="n">
        <v>3</v>
      </c>
    </row>
    <row r="5">
      <c r="A5" t="inlineStr">
        <is>
          <t>PL_SUBESCAPULAR</t>
        </is>
      </c>
      <c r="B5" t="inlineStr">
        <is>
          <t>Pliegue subescapular</t>
        </is>
      </c>
      <c r="C5" t="inlineStr">
        <is>
          <t>mm</t>
        </is>
      </c>
      <c r="D5" t="inlineStr">
        <is>
          <t>pliegue</t>
        </is>
      </c>
      <c r="E5" t="n">
        <v>0.05</v>
      </c>
      <c r="F5" t="inlineStr">
        <is>
          <t>Sí</t>
        </is>
      </c>
      <c r="G5" t="n">
        <v>4</v>
      </c>
    </row>
    <row r="6">
      <c r="A6" t="inlineStr">
        <is>
          <t>PL_BICEPS</t>
        </is>
      </c>
      <c r="B6" t="inlineStr">
        <is>
          <t>Pliegue bíceps</t>
        </is>
      </c>
      <c r="C6" t="inlineStr">
        <is>
          <t>mm</t>
        </is>
      </c>
      <c r="D6" t="inlineStr">
        <is>
          <t>pliegue</t>
        </is>
      </c>
      <c r="E6" t="n">
        <v>0.05</v>
      </c>
      <c r="F6" t="inlineStr">
        <is>
          <t>No</t>
        </is>
      </c>
      <c r="G6" t="n">
        <v>5</v>
      </c>
    </row>
    <row r="7">
      <c r="A7" t="inlineStr">
        <is>
          <t>PL_CRESTA_ILIACA</t>
        </is>
      </c>
      <c r="B7" t="inlineStr">
        <is>
          <t>Pliegue cresta ilíaca</t>
        </is>
      </c>
      <c r="C7" t="inlineStr">
        <is>
          <t>mm</t>
        </is>
      </c>
      <c r="D7" t="inlineStr">
        <is>
          <t>pliegue</t>
        </is>
      </c>
      <c r="E7" t="n">
        <v>0.05</v>
      </c>
      <c r="F7" t="inlineStr">
        <is>
          <t>Sí</t>
        </is>
      </c>
      <c r="G7" t="n">
        <v>6</v>
      </c>
    </row>
    <row r="8">
      <c r="A8" t="inlineStr">
        <is>
          <t>PL_SUPRAESPINAL</t>
        </is>
      </c>
      <c r="B8" t="inlineStr">
        <is>
          <t>Pliegue supraespinal</t>
        </is>
      </c>
      <c r="C8" t="inlineStr">
        <is>
          <t>mm</t>
        </is>
      </c>
      <c r="D8" t="inlineStr">
        <is>
          <t>pliegue</t>
        </is>
      </c>
      <c r="E8" t="n">
        <v>0.05</v>
      </c>
      <c r="F8" t="inlineStr">
        <is>
          <t>Sí</t>
        </is>
      </c>
      <c r="G8" t="n">
        <v>7</v>
      </c>
    </row>
    <row r="9">
      <c r="A9" t="inlineStr">
        <is>
          <t>PL_ABDOMINAL</t>
        </is>
      </c>
      <c r="B9" t="inlineStr">
        <is>
          <t>Pliegue abdominal</t>
        </is>
      </c>
      <c r="C9" t="inlineStr">
        <is>
          <t>mm</t>
        </is>
      </c>
      <c r="D9" t="inlineStr">
        <is>
          <t>pliegue</t>
        </is>
      </c>
      <c r="E9" t="n">
        <v>0.05</v>
      </c>
      <c r="F9" t="inlineStr">
        <is>
          <t>Sí</t>
        </is>
      </c>
      <c r="G9" t="n">
        <v>8</v>
      </c>
    </row>
    <row r="10">
      <c r="A10" t="inlineStr">
        <is>
          <t>PL_MUSLO_ANT</t>
        </is>
      </c>
      <c r="B10" t="inlineStr">
        <is>
          <t>Pliegue muslo anterior</t>
        </is>
      </c>
      <c r="C10" t="inlineStr">
        <is>
          <t>mm</t>
        </is>
      </c>
      <c r="D10" t="inlineStr">
        <is>
          <t>pliegue</t>
        </is>
      </c>
      <c r="E10" t="n">
        <v>0.05</v>
      </c>
      <c r="F10" t="inlineStr">
        <is>
          <t>Sí</t>
        </is>
      </c>
      <c r="G10" t="n">
        <v>9</v>
      </c>
    </row>
    <row r="11">
      <c r="A11" t="inlineStr">
        <is>
          <t>PL_PIERNA_MED</t>
        </is>
      </c>
      <c r="B11" t="inlineStr">
        <is>
          <t>Pliegue pierna medial</t>
        </is>
      </c>
      <c r="C11" t="inlineStr">
        <is>
          <t>mm</t>
        </is>
      </c>
      <c r="D11" t="inlineStr">
        <is>
          <t>pliegue</t>
        </is>
      </c>
      <c r="E11" t="n">
        <v>0.05</v>
      </c>
      <c r="F11" t="inlineStr">
        <is>
          <t>Sí</t>
        </is>
      </c>
      <c r="G11" t="n">
        <v>10</v>
      </c>
    </row>
    <row r="12">
      <c r="A12" t="inlineStr">
        <is>
          <t>PR_BRAZO_REL</t>
        </is>
      </c>
      <c r="B12" t="inlineStr">
        <is>
          <t>Perímetro brazo relajado</t>
        </is>
      </c>
      <c r="C12" t="inlineStr">
        <is>
          <t>cm</t>
        </is>
      </c>
      <c r="D12" t="inlineStr">
        <is>
          <t>perimetro</t>
        </is>
      </c>
      <c r="E12" t="n">
        <v>0.01</v>
      </c>
      <c r="F12" t="inlineStr">
        <is>
          <t>Sí</t>
        </is>
      </c>
      <c r="G12" t="n">
        <v>11</v>
      </c>
    </row>
    <row r="13">
      <c r="A13" t="inlineStr">
        <is>
          <t>PR_BRAZO_FLEX</t>
        </is>
      </c>
      <c r="B13" t="inlineStr">
        <is>
          <t>Perímetro brazo flexionado</t>
        </is>
      </c>
      <c r="C13" t="inlineStr">
        <is>
          <t>cm</t>
        </is>
      </c>
      <c r="D13" t="inlineStr">
        <is>
          <t>perimetro</t>
        </is>
      </c>
      <c r="E13" t="n">
        <v>0.01</v>
      </c>
      <c r="F13" t="inlineStr">
        <is>
          <t>No</t>
        </is>
      </c>
      <c r="G13" t="n">
        <v>12</v>
      </c>
    </row>
    <row r="14">
      <c r="A14" t="inlineStr">
        <is>
          <t>PR_CINTURA</t>
        </is>
      </c>
      <c r="B14" t="inlineStr">
        <is>
          <t>Perímetro cintura (mínima)</t>
        </is>
      </c>
      <c r="C14" t="inlineStr">
        <is>
          <t>cm</t>
        </is>
      </c>
      <c r="D14" t="inlineStr">
        <is>
          <t>perimetro</t>
        </is>
      </c>
      <c r="E14" t="n">
        <v>0.01</v>
      </c>
      <c r="F14" t="inlineStr">
        <is>
          <t>Sí</t>
        </is>
      </c>
      <c r="G14" t="n">
        <v>13</v>
      </c>
    </row>
    <row r="15">
      <c r="A15" t="inlineStr">
        <is>
          <t>PR_CADERA</t>
        </is>
      </c>
      <c r="B15" t="inlineStr">
        <is>
          <t>Perímetro cadera</t>
        </is>
      </c>
      <c r="C15" t="inlineStr">
        <is>
          <t>cm</t>
        </is>
      </c>
      <c r="D15" t="inlineStr">
        <is>
          <t>perimetro</t>
        </is>
      </c>
      <c r="E15" t="n">
        <v>0.01</v>
      </c>
      <c r="F15" t="inlineStr">
        <is>
          <t>Sí</t>
        </is>
      </c>
      <c r="G15" t="n">
        <v>14</v>
      </c>
    </row>
    <row r="16">
      <c r="A16" t="inlineStr">
        <is>
          <t>PR_PANTORRILLA</t>
        </is>
      </c>
      <c r="B16" t="inlineStr">
        <is>
          <t>Perímetro pantorrilla máx.</t>
        </is>
      </c>
      <c r="C16" t="inlineStr">
        <is>
          <t>cm</t>
        </is>
      </c>
      <c r="D16" t="inlineStr">
        <is>
          <t>perimetro</t>
        </is>
      </c>
      <c r="E16" t="n">
        <v>0.01</v>
      </c>
      <c r="F16" t="inlineStr">
        <is>
          <t>Sí</t>
        </is>
      </c>
      <c r="G16" t="n">
        <v>15</v>
      </c>
    </row>
    <row r="17">
      <c r="A17" t="inlineStr">
        <is>
          <t>D_HUMERO</t>
        </is>
      </c>
      <c r="B17" t="inlineStr">
        <is>
          <t>Diámetro biepicondilar húmero</t>
        </is>
      </c>
      <c r="C17" t="inlineStr">
        <is>
          <t>cm</t>
        </is>
      </c>
      <c r="D17" t="inlineStr">
        <is>
          <t>diametro</t>
        </is>
      </c>
      <c r="E17" t="n">
        <v>0.01</v>
      </c>
      <c r="F17" t="inlineStr">
        <is>
          <t>No</t>
        </is>
      </c>
      <c r="G17" t="n">
        <v>16</v>
      </c>
    </row>
    <row r="18">
      <c r="A18" t="inlineStr">
        <is>
          <t>D_FEMUR</t>
        </is>
      </c>
      <c r="B18" t="inlineStr">
        <is>
          <t>Diámetro biepicondilar fémur</t>
        </is>
      </c>
      <c r="C18" t="inlineStr">
        <is>
          <t>cm</t>
        </is>
      </c>
      <c r="D18" t="inlineStr">
        <is>
          <t>diametro</t>
        </is>
      </c>
      <c r="E18" t="n">
        <v>0.01</v>
      </c>
      <c r="F18" t="inlineStr">
        <is>
          <t>No</t>
        </is>
      </c>
      <c r="G18" t="n">
        <v>17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37"/>
  <sheetViews>
    <sheetView workbookViewId="0">
      <selection activeCell="A1" sqref="A1"/>
    </sheetView>
  </sheetViews>
  <sheetFormatPr baseColWidth="8" defaultRowHeight="15"/>
  <cols>
    <col width="6" customWidth="1" min="1" max="1"/>
    <col width="34" customWidth="1" min="2" max="2"/>
    <col width="8" customWidth="1" min="3" max="3"/>
    <col width="10" customWidth="1" min="4" max="4"/>
    <col width="10" customWidth="1" min="5" max="5"/>
    <col width="10" customWidth="1" min="6" max="6"/>
    <col width="10" customWidth="1" min="7" max="7"/>
    <col width="16" customWidth="1" min="8" max="8"/>
  </cols>
  <sheetData>
    <row r="1">
      <c r="A1" s="3" t="inlineStr">
        <is>
          <t>CAPTURA ANTROPOMÉTRICA ISAK NIVEL 1</t>
        </is>
      </c>
    </row>
    <row r="3">
      <c r="A3" s="4" t="inlineStr">
        <is>
          <t>Deportista (ID):</t>
        </is>
      </c>
      <c r="B3" s="5" t="inlineStr">
        <is>
          <t>DEP-001</t>
        </is>
      </c>
      <c r="C3" s="5" t="n"/>
      <c r="D3" s="4" t="inlineStr">
        <is>
          <t>Fecha evaluación:</t>
        </is>
      </c>
      <c r="E3" s="6">
        <f>TODAY()</f>
        <v/>
      </c>
      <c r="F3" s="5" t="n"/>
    </row>
    <row r="4">
      <c r="A4" s="4" t="inlineStr">
        <is>
          <t>Documento:</t>
        </is>
      </c>
      <c r="B4" s="7">
        <f>IFERROR(INDEX(TablaDeportistas[tipoDocumentoIdentificacion],MATCH(LEFT(B3,FIND(" -",B3&amp;" -")-1),TablaDeportistas[ID_Deportista],0))&amp;" "&amp;INDEX(TablaDeportistas[numDocumentoIdentificacion],MATCH(LEFT(B3,FIND(" -",B3&amp;" -")-1),TablaDeportistas[ID_Deportista],0)),"")</f>
        <v/>
      </c>
      <c r="C4" s="5" t="n"/>
      <c r="D4" s="4" t="inlineStr">
        <is>
          <t>Hora:</t>
        </is>
      </c>
      <c r="E4" s="8">
        <f>NOW()</f>
        <v/>
      </c>
      <c r="F4" s="5" t="n"/>
    </row>
    <row r="5">
      <c r="A5" s="4" t="inlineStr">
        <is>
          <t>Nombre:</t>
        </is>
      </c>
      <c r="B5" s="7">
        <f>IFERROR(INDEX(TablaDeportistas[primerApellido],MATCH(LEFT(B3,FIND(" -",B3&amp;" -")-1),TablaDeportistas[ID_Deportista],0))&amp;" "&amp;INDEX(TablaDeportistas[nombres],MATCH(LEFT(B3,FIND(" -",B3&amp;" -")-1),TablaDeportistas[ID_Deportista],0)),"")</f>
        <v/>
      </c>
      <c r="C5" s="5" t="n"/>
      <c r="D5" s="4" t="inlineStr">
        <is>
          <t>Antropometrista:</t>
        </is>
      </c>
      <c r="E5" s="5" t="inlineStr">
        <is>
          <t>Eder Acosta</t>
        </is>
      </c>
      <c r="F5" s="5" t="n"/>
    </row>
    <row r="6">
      <c r="A6" s="4" t="inlineStr">
        <is>
          <t>Sexo / Nacimiento:</t>
        </is>
      </c>
      <c r="B6" s="7">
        <f>IFERROR(INDEX(TablaDeportistas[codSexo],MATCH(LEFT(B3,FIND(" -",B3&amp;" -")-1),TablaDeportistas[ID_Deportista],0))&amp;" | "&amp;TEXT(INDEX(TablaDeportistas[fechaNacimiento],MATCH(LEFT(B3,FIND(" -",B3&amp;" -")-1),TablaDeportistas[ID_Deportista],0)),"dd/mm/yyyy"),"")</f>
        <v/>
      </c>
      <c r="C6" s="5" t="n"/>
      <c r="D6" s="4" t="inlineStr">
        <is>
          <t>Anotador:</t>
        </is>
      </c>
      <c r="E6" s="5" t="inlineStr"/>
      <c r="F6" s="5" t="n"/>
    </row>
    <row r="7">
      <c r="A7" s="4" t="inlineStr">
        <is>
          <t>Deporte / Equipo:</t>
        </is>
      </c>
      <c r="B7" s="7">
        <f>IFERROR(INDEX(TablaDeportistas[deporte],MATCH(LEFT(B3,FIND(" -",B3&amp;" -")-1),TablaDeportistas[ID_Deportista],0))&amp;" / "&amp;INDEX(TablaDeportistas[equipo],MATCH(LEFT(B3,FIND(" -",B3&amp;" -")-1),TablaDeportistas[ID_Deportista],0)),"")</f>
        <v/>
      </c>
      <c r="C7" s="5" t="n"/>
      <c r="D7" s="4" t="inlineStr">
        <is>
          <t>Lado medido:</t>
        </is>
      </c>
      <c r="E7" s="5" t="inlineStr">
        <is>
          <t>D</t>
        </is>
      </c>
      <c r="F7" s="5" t="n"/>
    </row>
    <row r="8">
      <c r="A8" s="4" t="inlineStr">
        <is>
          <t>Método muslo:</t>
        </is>
      </c>
      <c r="B8" s="5" t="inlineStr">
        <is>
          <t>A</t>
        </is>
      </c>
      <c r="C8" s="5" t="n"/>
      <c r="D8" s="4" t="inlineStr">
        <is>
          <t>Notas variaciones:</t>
        </is>
      </c>
      <c r="E8" s="5" t="n"/>
      <c r="F8" s="5" t="n"/>
    </row>
    <row r="11">
      <c r="A11" s="2" t="inlineStr">
        <is>
          <t>#</t>
        </is>
      </c>
      <c r="B11" s="2" t="inlineStr">
        <is>
          <t>Variable</t>
        </is>
      </c>
      <c r="C11" s="2" t="inlineStr">
        <is>
          <t>Unidad</t>
        </is>
      </c>
      <c r="D11" s="2" t="inlineStr">
        <is>
          <t>Medida 1</t>
        </is>
      </c>
      <c r="E11" s="2" t="inlineStr">
        <is>
          <t>Medida 2</t>
        </is>
      </c>
      <c r="F11" s="2" t="inlineStr">
        <is>
          <t>Medida 3</t>
        </is>
      </c>
      <c r="G11" s="2" t="inlineStr">
        <is>
          <t>Final</t>
        </is>
      </c>
      <c r="H11" s="2" t="inlineStr">
        <is>
          <t>Alerta</t>
        </is>
      </c>
    </row>
    <row r="12">
      <c r="A12" t="n">
        <v>1</v>
      </c>
      <c r="B12" t="inlineStr">
        <is>
          <t>Masa corporal</t>
        </is>
      </c>
      <c r="C12" t="inlineStr">
        <is>
          <t>kg</t>
        </is>
      </c>
      <c r="D12" s="9" t="n"/>
      <c r="E12" s="9" t="n"/>
      <c r="F12" s="9" t="n"/>
      <c r="G12" s="10">
        <f>LET(vals,FILTER(D12:F12,D12:F12&lt;&gt;""),n,ROWS(vals),IF(n=0,"",IF(n=1,INDEX(vals,1),IF(n=2,AVERAGE(vals),MEDIAN(vals)))))</f>
        <v/>
      </c>
      <c r="H12" s="5">
        <f>IF(OR(D12="",E12=""),"",IF(ABS(E12-D12)/D12&gt;0.01,"Revisar 3ª medida",""))</f>
        <v/>
      </c>
    </row>
    <row r="13">
      <c r="A13" t="n">
        <v>2</v>
      </c>
      <c r="B13" t="inlineStr">
        <is>
          <t>Talla / estatura</t>
        </is>
      </c>
      <c r="C13" t="inlineStr">
        <is>
          <t>cm</t>
        </is>
      </c>
      <c r="D13" s="9" t="n"/>
      <c r="E13" s="9" t="n"/>
      <c r="F13" s="9" t="n"/>
      <c r="G13" s="10">
        <f>LET(vals,FILTER(D13:F13,D13:F13&lt;&gt;""),n,ROWS(vals),IF(n=0,"",IF(n=1,INDEX(vals,1),IF(n=2,AVERAGE(vals),MEDIAN(vals)))))</f>
        <v/>
      </c>
      <c r="H13" s="5">
        <f>IF(OR(D13="",E13=""),"",IF(ABS(E13-D13)/D13&gt;0.01,"Revisar 3ª medida",""))</f>
        <v/>
      </c>
    </row>
    <row r="14">
      <c r="A14" t="n">
        <v>3</v>
      </c>
      <c r="B14" t="inlineStr">
        <is>
          <t>Pliegue tríceps</t>
        </is>
      </c>
      <c r="C14" t="inlineStr">
        <is>
          <t>mm</t>
        </is>
      </c>
      <c r="D14" s="9" t="n"/>
      <c r="E14" s="9" t="n"/>
      <c r="F14" s="9" t="n"/>
      <c r="G14" s="10">
        <f>LET(vals,FILTER(D14:F14,D14:F14&lt;&gt;""),n,ROWS(vals),IF(n=0,"",IF(n=1,INDEX(vals,1),IF(n=2,AVERAGE(vals),MEDIAN(vals)))))</f>
        <v/>
      </c>
      <c r="H14" s="5">
        <f>IF(OR(D14="",E14=""),"",IF(ABS(E14-D14)/D14&gt;0.05,"Revisar 3ª medida",""))</f>
        <v/>
      </c>
    </row>
    <row r="15">
      <c r="A15" t="n">
        <v>4</v>
      </c>
      <c r="B15" t="inlineStr">
        <is>
          <t>Pliegue subescapular</t>
        </is>
      </c>
      <c r="C15" t="inlineStr">
        <is>
          <t>mm</t>
        </is>
      </c>
      <c r="D15" s="9" t="n"/>
      <c r="E15" s="9" t="n"/>
      <c r="F15" s="9" t="n"/>
      <c r="G15" s="10">
        <f>LET(vals,FILTER(D15:F15,D15:F15&lt;&gt;""),n,ROWS(vals),IF(n=0,"",IF(n=1,INDEX(vals,1),IF(n=2,AVERAGE(vals),MEDIAN(vals)))))</f>
        <v/>
      </c>
      <c r="H15" s="5">
        <f>IF(OR(D15="",E15=""),"",IF(ABS(E15-D15)/D15&gt;0.05,"Revisar 3ª medida",""))</f>
        <v/>
      </c>
    </row>
    <row r="16">
      <c r="A16" t="n">
        <v>5</v>
      </c>
      <c r="B16" t="inlineStr">
        <is>
          <t>Pliegue bíceps</t>
        </is>
      </c>
      <c r="C16" t="inlineStr">
        <is>
          <t>mm</t>
        </is>
      </c>
      <c r="D16" s="9" t="n"/>
      <c r="E16" s="9" t="n"/>
      <c r="F16" s="9" t="n"/>
      <c r="G16" s="10">
        <f>LET(vals,FILTER(D16:F16,D16:F16&lt;&gt;""),n,ROWS(vals),IF(n=0,"",IF(n=1,INDEX(vals,1),IF(n=2,AVERAGE(vals),MEDIAN(vals)))))</f>
        <v/>
      </c>
      <c r="H16" s="5">
        <f>IF(OR(D16="",E16=""),"",IF(ABS(E16-D16)/D16&gt;0.05,"Revisar 3ª medida",""))</f>
        <v/>
      </c>
    </row>
    <row r="17">
      <c r="A17" t="n">
        <v>6</v>
      </c>
      <c r="B17" t="inlineStr">
        <is>
          <t>Pliegue cresta ilíaca</t>
        </is>
      </c>
      <c r="C17" t="inlineStr">
        <is>
          <t>mm</t>
        </is>
      </c>
      <c r="D17" s="9" t="n"/>
      <c r="E17" s="9" t="n"/>
      <c r="F17" s="9" t="n"/>
      <c r="G17" s="10">
        <f>LET(vals,FILTER(D17:F17,D17:F17&lt;&gt;""),n,ROWS(vals),IF(n=0,"",IF(n=1,INDEX(vals,1),IF(n=2,AVERAGE(vals),MEDIAN(vals)))))</f>
        <v/>
      </c>
      <c r="H17" s="5">
        <f>IF(OR(D17="",E17=""),"",IF(ABS(E17-D17)/D17&gt;0.05,"Revisar 3ª medida",""))</f>
        <v/>
      </c>
    </row>
    <row r="18">
      <c r="A18" t="n">
        <v>7</v>
      </c>
      <c r="B18" t="inlineStr">
        <is>
          <t>Pliegue supraespinal</t>
        </is>
      </c>
      <c r="C18" t="inlineStr">
        <is>
          <t>mm</t>
        </is>
      </c>
      <c r="D18" s="9" t="n"/>
      <c r="E18" s="9" t="n"/>
      <c r="F18" s="9" t="n"/>
      <c r="G18" s="10">
        <f>LET(vals,FILTER(D18:F18,D18:F18&lt;&gt;""),n,ROWS(vals),IF(n=0,"",IF(n=1,INDEX(vals,1),IF(n=2,AVERAGE(vals),MEDIAN(vals)))))</f>
        <v/>
      </c>
      <c r="H18" s="5">
        <f>IF(OR(D18="",E18=""),"",IF(ABS(E18-D18)/D18&gt;0.05,"Revisar 3ª medida",""))</f>
        <v/>
      </c>
    </row>
    <row r="19">
      <c r="A19" t="n">
        <v>8</v>
      </c>
      <c r="B19" t="inlineStr">
        <is>
          <t>Pliegue abdominal</t>
        </is>
      </c>
      <c r="C19" t="inlineStr">
        <is>
          <t>mm</t>
        </is>
      </c>
      <c r="D19" s="9" t="n"/>
      <c r="E19" s="9" t="n"/>
      <c r="F19" s="9" t="n"/>
      <c r="G19" s="10">
        <f>LET(vals,FILTER(D19:F19,D19:F19&lt;&gt;""),n,ROWS(vals),IF(n=0,"",IF(n=1,INDEX(vals,1),IF(n=2,AVERAGE(vals),MEDIAN(vals)))))</f>
        <v/>
      </c>
      <c r="H19" s="5">
        <f>IF(OR(D19="",E19=""),"",IF(ABS(E19-D19)/D19&gt;0.05,"Revisar 3ª medida",""))</f>
        <v/>
      </c>
    </row>
    <row r="20">
      <c r="A20" t="n">
        <v>9</v>
      </c>
      <c r="B20" t="inlineStr">
        <is>
          <t>Pliegue muslo anterior</t>
        </is>
      </c>
      <c r="C20" t="inlineStr">
        <is>
          <t>mm</t>
        </is>
      </c>
      <c r="D20" s="9" t="n"/>
      <c r="E20" s="9" t="n"/>
      <c r="F20" s="9" t="n"/>
      <c r="G20" s="10">
        <f>LET(vals,FILTER(D20:F20,D20:F20&lt;&gt;""),n,ROWS(vals),IF(n=0,"",IF(n=1,INDEX(vals,1),IF(n=2,AVERAGE(vals),MEDIAN(vals)))))</f>
        <v/>
      </c>
      <c r="H20" s="5">
        <f>IF(OR(D20="",E20=""),"",IF(ABS(E20-D20)/D20&gt;0.05,"Revisar 3ª medida",""))</f>
        <v/>
      </c>
    </row>
    <row r="21">
      <c r="A21" t="n">
        <v>10</v>
      </c>
      <c r="B21" t="inlineStr">
        <is>
          <t>Pliegue pierna medial</t>
        </is>
      </c>
      <c r="C21" t="inlineStr">
        <is>
          <t>mm</t>
        </is>
      </c>
      <c r="D21" s="9" t="n"/>
      <c r="E21" s="9" t="n"/>
      <c r="F21" s="9" t="n"/>
      <c r="G21" s="10">
        <f>LET(vals,FILTER(D21:F21,D21:F21&lt;&gt;""),n,ROWS(vals),IF(n=0,"",IF(n=1,INDEX(vals,1),IF(n=2,AVERAGE(vals),MEDIAN(vals)))))</f>
        <v/>
      </c>
      <c r="H21" s="5">
        <f>IF(OR(D21="",E21=""),"",IF(ABS(E21-D21)/D21&gt;0.05,"Revisar 3ª medida",""))</f>
        <v/>
      </c>
    </row>
    <row r="22">
      <c r="A22" t="n">
        <v>11</v>
      </c>
      <c r="B22" t="inlineStr">
        <is>
          <t>Perímetro brazo relajado</t>
        </is>
      </c>
      <c r="C22" t="inlineStr">
        <is>
          <t>cm</t>
        </is>
      </c>
      <c r="D22" s="9" t="n"/>
      <c r="E22" s="9" t="n"/>
      <c r="F22" s="9" t="n"/>
      <c r="G22" s="10">
        <f>LET(vals,FILTER(D22:F22,D22:F22&lt;&gt;""),n,ROWS(vals),IF(n=0,"",IF(n=1,INDEX(vals,1),IF(n=2,AVERAGE(vals),MEDIAN(vals)))))</f>
        <v/>
      </c>
      <c r="H22" s="5">
        <f>IF(OR(D22="",E22=""),"",IF(ABS(E22-D22)/D22&gt;0.01,"Revisar 3ª medida",""))</f>
        <v/>
      </c>
    </row>
    <row r="23">
      <c r="A23" t="n">
        <v>12</v>
      </c>
      <c r="B23" t="inlineStr">
        <is>
          <t>Perímetro brazo flexionado</t>
        </is>
      </c>
      <c r="C23" t="inlineStr">
        <is>
          <t>cm</t>
        </is>
      </c>
      <c r="D23" s="9" t="n"/>
      <c r="E23" s="9" t="n"/>
      <c r="F23" s="9" t="n"/>
      <c r="G23" s="10">
        <f>LET(vals,FILTER(D23:F23,D23:F23&lt;&gt;""),n,ROWS(vals),IF(n=0,"",IF(n=1,INDEX(vals,1),IF(n=2,AVERAGE(vals),MEDIAN(vals)))))</f>
        <v/>
      </c>
      <c r="H23" s="5">
        <f>IF(OR(D23="",E23=""),"",IF(ABS(E23-D23)/D23&gt;0.01,"Revisar 3ª medida",""))</f>
        <v/>
      </c>
    </row>
    <row r="24">
      <c r="A24" t="n">
        <v>13</v>
      </c>
      <c r="B24" t="inlineStr">
        <is>
          <t>Perímetro cintura (mínima)</t>
        </is>
      </c>
      <c r="C24" t="inlineStr">
        <is>
          <t>cm</t>
        </is>
      </c>
      <c r="D24" s="9" t="n"/>
      <c r="E24" s="9" t="n"/>
      <c r="F24" s="9" t="n"/>
      <c r="G24" s="10">
        <f>LET(vals,FILTER(D24:F24,D24:F24&lt;&gt;""),n,ROWS(vals),IF(n=0,"",IF(n=1,INDEX(vals,1),IF(n=2,AVERAGE(vals),MEDIAN(vals)))))</f>
        <v/>
      </c>
      <c r="H24" s="5">
        <f>IF(OR(D24="",E24=""),"",IF(ABS(E24-D24)/D24&gt;0.01,"Revisar 3ª medida",""))</f>
        <v/>
      </c>
    </row>
    <row r="25">
      <c r="A25" t="n">
        <v>14</v>
      </c>
      <c r="B25" t="inlineStr">
        <is>
          <t>Perímetro cadera</t>
        </is>
      </c>
      <c r="C25" t="inlineStr">
        <is>
          <t>cm</t>
        </is>
      </c>
      <c r="D25" s="9" t="n"/>
      <c r="E25" s="9" t="n"/>
      <c r="F25" s="9" t="n"/>
      <c r="G25" s="10">
        <f>LET(vals,FILTER(D25:F25,D25:F25&lt;&gt;""),n,ROWS(vals),IF(n=0,"",IF(n=1,INDEX(vals,1),IF(n=2,AVERAGE(vals),MEDIAN(vals)))))</f>
        <v/>
      </c>
      <c r="H25" s="5">
        <f>IF(OR(D25="",E25=""),"",IF(ABS(E25-D25)/D25&gt;0.01,"Revisar 3ª medida",""))</f>
        <v/>
      </c>
    </row>
    <row r="26">
      <c r="A26" t="n">
        <v>15</v>
      </c>
      <c r="B26" t="inlineStr">
        <is>
          <t>Perímetro pantorrilla máx.</t>
        </is>
      </c>
      <c r="C26" t="inlineStr">
        <is>
          <t>cm</t>
        </is>
      </c>
      <c r="D26" s="9" t="n"/>
      <c r="E26" s="9" t="n"/>
      <c r="F26" s="9" t="n"/>
      <c r="G26" s="10">
        <f>LET(vals,FILTER(D26:F26,D26:F26&lt;&gt;""),n,ROWS(vals),IF(n=0,"",IF(n=1,INDEX(vals,1),IF(n=2,AVERAGE(vals),MEDIAN(vals)))))</f>
        <v/>
      </c>
      <c r="H26" s="5">
        <f>IF(OR(D26="",E26=""),"",IF(ABS(E26-D26)/D26&gt;0.01,"Revisar 3ª medida",""))</f>
        <v/>
      </c>
    </row>
    <row r="27">
      <c r="A27" t="n">
        <v>16</v>
      </c>
      <c r="B27" t="inlineStr">
        <is>
          <t>Diámetro biepicondilar húmero</t>
        </is>
      </c>
      <c r="C27" t="inlineStr">
        <is>
          <t>cm</t>
        </is>
      </c>
      <c r="D27" s="9" t="n"/>
      <c r="E27" s="9" t="n"/>
      <c r="F27" s="9" t="n"/>
      <c r="G27" s="10">
        <f>LET(vals,FILTER(D27:F27,D27:F27&lt;&gt;""),n,ROWS(vals),IF(n=0,"",IF(n=1,INDEX(vals,1),IF(n=2,AVERAGE(vals),MEDIAN(vals)))))</f>
        <v/>
      </c>
      <c r="H27" s="5">
        <f>IF(OR(D27="",E27=""),"",IF(ABS(E27-D27)/D27&gt;0.01,"Revisar 3ª medida",""))</f>
        <v/>
      </c>
    </row>
    <row r="28">
      <c r="A28" t="n">
        <v>17</v>
      </c>
      <c r="B28" t="inlineStr">
        <is>
          <t>Diámetro biepicondilar fémur</t>
        </is>
      </c>
      <c r="C28" t="inlineStr">
        <is>
          <t>cm</t>
        </is>
      </c>
      <c r="D28" s="9" t="n"/>
      <c r="E28" s="9" t="n"/>
      <c r="F28" s="9" t="n"/>
      <c r="G28" s="10">
        <f>LET(vals,FILTER(D28:F28,D28:F28&lt;&gt;""),n,ROWS(vals),IF(n=0,"",IF(n=1,INDEX(vals,1),IF(n=2,AVERAGE(vals),MEDIAN(vals)))))</f>
        <v/>
      </c>
      <c r="H28" s="5">
        <f>IF(OR(D28="",E28=""),"",IF(ABS(E28-D28)/D28&gt;0.01,"Revisar 3ª medida",""))</f>
        <v/>
      </c>
    </row>
    <row r="31">
      <c r="A31" s="11" t="inlineStr">
        <is>
          <t>INSTRUCCIONES</t>
        </is>
      </c>
    </row>
    <row r="32">
      <c r="A32" t="inlineStr">
        <is>
          <t>1. Seleccione deportista y diligencie las medidas.</t>
        </is>
      </c>
    </row>
    <row r="33">
      <c r="A33" t="inlineStr">
        <is>
          <t>2. Use el botón 'Registrar evaluación de hoy' (requiere macros VBA).</t>
        </is>
      </c>
    </row>
    <row r="34">
      <c r="A34" t="inlineStr">
        <is>
          <t>3. La fecha se fija automáticamente al registrar.</t>
        </is>
      </c>
    </row>
    <row r="35">
      <c r="A35" t="inlineStr">
        <is>
          <t>4. Contraseña administrador: ver Admin_Config.md (default: UCAD2026)</t>
        </is>
      </c>
    </row>
    <row r="37">
      <c r="A37" s="12" t="inlineStr">
        <is>
          <t>[ Registrar evaluación de hoy ]</t>
        </is>
      </c>
      <c r="C37" s="13" t="inlineStr">
        <is>
          <t>[ Modo administrador ]</t>
        </is>
      </c>
    </row>
  </sheetData>
  <mergeCells count="1">
    <mergeCell ref="A1:F1"/>
  </mergeCells>
  <conditionalFormatting sqref="H12:H28">
    <cfRule type="expression" priority="1" dxfId="0">
      <formula>H12="Revisar 3ª medida"</formula>
    </cfRule>
  </conditionalFormatting>
  <dataValidations count="3">
    <dataValidation sqref="B3" showDropDown="0" showInputMessage="1" showErrorMessage="0" allowBlank="0" prompt="Seleccione deportista activo" type="list">
      <formula1>=OFFSET(Listas!$J$1,0,0,COUNTA(Listas!$J:$J),1)</formula1>
    </dataValidation>
    <dataValidation sqref="E7" showDropDown="0" showInputMessage="0" showErrorMessage="0" allowBlank="1" type="list">
      <formula1>"D,I"</formula1>
    </dataValidation>
    <dataValidation sqref="B8" showDropDown="0" showInputMessage="0" showErrorMessage="0" allowBlank="1" type="list">
      <formula1>"A,B"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D50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22" customWidth="1" min="2" max="2"/>
    <col width="14" customWidth="1" min="3" max="3"/>
    <col width="10" customWidth="1" min="4" max="4"/>
  </cols>
  <sheetData>
    <row r="1">
      <c r="A1" s="2" t="inlineStr">
        <is>
          <t>ID_Deportista</t>
        </is>
      </c>
      <c r="B1" s="2" t="inlineStr">
        <is>
          <t>Nombre_Completo</t>
        </is>
      </c>
      <c r="C1" s="2" t="inlineStr">
        <is>
          <t>Fecha_Evaluacion</t>
        </is>
      </c>
      <c r="D1" s="2" t="inlineStr">
        <is>
          <t>Hora_Evaluacion</t>
        </is>
      </c>
      <c r="E1" s="2" t="inlineStr">
        <is>
          <t>Antropometrista</t>
        </is>
      </c>
      <c r="F1" s="2" t="inlineStr">
        <is>
          <t>Anotador</t>
        </is>
      </c>
      <c r="G1" s="2" t="inlineStr">
        <is>
          <t>Lado_Medido</t>
        </is>
      </c>
      <c r="H1" s="2" t="inlineStr">
        <is>
          <t>Notas</t>
        </is>
      </c>
      <c r="I1" s="2" t="inlineStr">
        <is>
          <t>MASA</t>
        </is>
      </c>
      <c r="J1" s="2" t="inlineStr">
        <is>
          <t>TALLA</t>
        </is>
      </c>
      <c r="K1" s="2" t="inlineStr">
        <is>
          <t>PL_TRICEPS</t>
        </is>
      </c>
      <c r="L1" s="2" t="inlineStr">
        <is>
          <t>PL_SUBESCAPULAR</t>
        </is>
      </c>
      <c r="M1" s="2" t="inlineStr">
        <is>
          <t>PL_BICEPS</t>
        </is>
      </c>
      <c r="N1" s="2" t="inlineStr">
        <is>
          <t>PL_CRESTA_ILIACA</t>
        </is>
      </c>
      <c r="O1" s="2" t="inlineStr">
        <is>
          <t>PL_SUPRAESPINAL</t>
        </is>
      </c>
      <c r="P1" s="2" t="inlineStr">
        <is>
          <t>PL_ABDOMINAL</t>
        </is>
      </c>
      <c r="Q1" s="2" t="inlineStr">
        <is>
          <t>PL_MUSLO_ANT</t>
        </is>
      </c>
      <c r="R1" s="2" t="inlineStr">
        <is>
          <t>PL_PIERNA_MED</t>
        </is>
      </c>
      <c r="S1" s="2" t="inlineStr">
        <is>
          <t>PR_BRAZO_REL</t>
        </is>
      </c>
      <c r="T1" s="2" t="inlineStr">
        <is>
          <t>PR_BRAZO_FLEX</t>
        </is>
      </c>
      <c r="U1" s="2" t="inlineStr">
        <is>
          <t>PR_CINTURA</t>
        </is>
      </c>
      <c r="V1" s="2" t="inlineStr">
        <is>
          <t>PR_CADERA</t>
        </is>
      </c>
      <c r="W1" s="2" t="inlineStr">
        <is>
          <t>PR_PANTORRILLA</t>
        </is>
      </c>
      <c r="X1" s="2" t="inlineStr">
        <is>
          <t>D_HUMERO</t>
        </is>
      </c>
      <c r="Y1" s="2" t="inlineStr">
        <is>
          <t>D_FEMUR</t>
        </is>
      </c>
      <c r="Z1" s="2" t="inlineStr">
        <is>
          <t>IMC</t>
        </is>
      </c>
      <c r="AA1" s="2" t="inlineStr">
        <is>
          <t>Suma_6_Pliegues</t>
        </is>
      </c>
      <c r="AB1" s="2" t="inlineStr">
        <is>
          <t>Suma_8_Pliegues</t>
        </is>
      </c>
      <c r="AC1" s="2" t="inlineStr">
        <is>
          <t>Bloqueado</t>
        </is>
      </c>
      <c r="AD1" s="2" t="inlineStr">
        <is>
          <t>ID_Evaluacion</t>
        </is>
      </c>
    </row>
    <row r="2">
      <c r="A2" t="inlineStr">
        <is>
          <t>DEP-001</t>
        </is>
      </c>
      <c r="B2">
        <f>IFERROR(INDEX(TablaDeportistas[primerApellido],MATCH(A2,TablaDeportistas[ID_Deportista],0))&amp;" "&amp;INDEX(TablaDeportistas[nombres],MATCH(A2,TablaDeportistas[ID_Deportista],0)),"")</f>
        <v/>
      </c>
      <c r="C2" t="inlineStr">
        <is>
          <t>2025-10-01</t>
        </is>
      </c>
      <c r="D2" t="inlineStr">
        <is>
          <t>08:30</t>
        </is>
      </c>
      <c r="E2" t="inlineStr">
        <is>
          <t>Eder Acosta</t>
        </is>
      </c>
      <c r="F2" t="inlineStr"/>
      <c r="G2" t="inlineStr">
        <is>
          <t>D</t>
        </is>
      </c>
      <c r="H2" t="inlineStr"/>
      <c r="I2" t="n">
        <v>78.2</v>
      </c>
      <c r="J2" t="n">
        <v>178</v>
      </c>
      <c r="K2" t="n">
        <v>8.5</v>
      </c>
      <c r="L2" t="n">
        <v>12.1</v>
      </c>
      <c r="M2" t="n">
        <v>5.2</v>
      </c>
      <c r="N2" t="n">
        <v>10.3</v>
      </c>
      <c r="O2" t="n">
        <v>9.800000000000001</v>
      </c>
      <c r="P2" t="n">
        <v>15.2</v>
      </c>
      <c r="Q2" t="n">
        <v>18.5</v>
      </c>
      <c r="R2" t="n">
        <v>12.4</v>
      </c>
      <c r="S2" t="n">
        <v>28.5</v>
      </c>
      <c r="T2" t="n">
        <v>32.1</v>
      </c>
      <c r="U2" t="n">
        <v>78</v>
      </c>
      <c r="V2" t="n">
        <v>95.2</v>
      </c>
      <c r="W2" t="n">
        <v>36.8</v>
      </c>
      <c r="X2" t="n">
        <v>6.8</v>
      </c>
      <c r="Y2" t="n">
        <v>9.5</v>
      </c>
      <c r="Z2">
        <f>IF(OR(I2="",J2=""),"",ROUND(I2/((J2/100)^2),2))</f>
        <v/>
      </c>
      <c r="AA2">
        <f>IF(I2="","",ROUND(IF(K2="",0,K2)+IF(L2="",0,L2)+IF(O2="",0,O2)+IF(P2="",0,P2)+IF(Q2="",0,Q2)+IF(R2="",0,R2),1))</f>
        <v/>
      </c>
      <c r="AB2">
        <f>IF(I2="","",ROUND(IF(K2="",0,K2)+IF(L2="",0,L2)+IF(M2="",0,M2)+IF(N2="",0,N2)+IF(O2="",0,O2)+IF(P2="",0,P2)+IF(Q2="",0,Q2)+IF(R2="",0,R2),1))</f>
        <v/>
      </c>
      <c r="AC2" t="inlineStr">
        <is>
          <t>Sí</t>
        </is>
      </c>
      <c r="AD2">
        <f>IF(A2="","",A2&amp;"-"&amp;TEXT(C2,"yyyymmdd"))</f>
        <v/>
      </c>
    </row>
    <row r="3">
      <c r="A3" t="inlineStr">
        <is>
          <t>DEP-001</t>
        </is>
      </c>
      <c r="B3">
        <f>IFERROR(INDEX(TablaDeportistas[primerApellido],MATCH(A3,TablaDeportistas[ID_Deportista],0))&amp;" "&amp;INDEX(TablaDeportistas[nombres],MATCH(A3,TablaDeportistas[ID_Deportista],0)),"")</f>
        <v/>
      </c>
      <c r="C3" t="inlineStr">
        <is>
          <t>2025-11-15</t>
        </is>
      </c>
      <c r="D3" t="inlineStr">
        <is>
          <t>08:30</t>
        </is>
      </c>
      <c r="E3" t="inlineStr">
        <is>
          <t>Eder Acosta</t>
        </is>
      </c>
      <c r="F3" t="inlineStr"/>
      <c r="G3" t="inlineStr">
        <is>
          <t>D</t>
        </is>
      </c>
      <c r="H3" t="inlineStr"/>
      <c r="I3" t="n">
        <v>77.09999999999999</v>
      </c>
      <c r="J3" t="n">
        <v>178</v>
      </c>
      <c r="K3" t="n">
        <v>8</v>
      </c>
      <c r="L3" t="n">
        <v>11.5</v>
      </c>
      <c r="M3" t="n">
        <v>5</v>
      </c>
      <c r="N3" t="n">
        <v>9.800000000000001</v>
      </c>
      <c r="O3" t="n">
        <v>9.199999999999999</v>
      </c>
      <c r="P3" t="n">
        <v>14.5</v>
      </c>
      <c r="Q3" t="n">
        <v>17.8</v>
      </c>
      <c r="R3" t="n">
        <v>11.9</v>
      </c>
      <c r="S3" t="n">
        <v>28.2</v>
      </c>
      <c r="T3" t="n">
        <v>31.8</v>
      </c>
      <c r="U3" t="n">
        <v>76.5</v>
      </c>
      <c r="V3" t="n">
        <v>94.5</v>
      </c>
      <c r="W3" t="n">
        <v>36.5</v>
      </c>
      <c r="X3" t="n">
        <v>6.8</v>
      </c>
      <c r="Y3" t="n">
        <v>9.5</v>
      </c>
      <c r="Z3">
        <f>IF(OR(I3="",J3=""),"",ROUND(I3/((J3/100)^2),2))</f>
        <v/>
      </c>
      <c r="AA3">
        <f>IF(I3="","",ROUND(IF(K3="",0,K3)+IF(L3="",0,L3)+IF(O3="",0,O3)+IF(P3="",0,P3)+IF(Q3="",0,Q3)+IF(R3="",0,R3),1))</f>
        <v/>
      </c>
      <c r="AB3">
        <f>IF(I3="","",ROUND(IF(K3="",0,K3)+IF(L3="",0,L3)+IF(M3="",0,M3)+IF(N3="",0,N3)+IF(O3="",0,O3)+IF(P3="",0,P3)+IF(Q3="",0,Q3)+IF(R3="",0,R3),1))</f>
        <v/>
      </c>
      <c r="AC3" t="inlineStr">
        <is>
          <t>Sí</t>
        </is>
      </c>
      <c r="AD3">
        <f>IF(A3="","",A3&amp;"-"&amp;TEXT(C3,"yyyymmdd"))</f>
        <v/>
      </c>
    </row>
    <row r="4">
      <c r="A4" t="inlineStr">
        <is>
          <t>DEP-001</t>
        </is>
      </c>
      <c r="B4">
        <f>IFERROR(INDEX(TablaDeportistas[primerApellido],MATCH(A4,TablaDeportistas[ID_Deportista],0))&amp;" "&amp;INDEX(TablaDeportistas[nombres],MATCH(A4,TablaDeportistas[ID_Deportista],0)),"")</f>
        <v/>
      </c>
      <c r="C4" t="inlineStr">
        <is>
          <t>2026-01-10</t>
        </is>
      </c>
      <c r="D4" t="inlineStr">
        <is>
          <t>08:30</t>
        </is>
      </c>
      <c r="E4" t="inlineStr">
        <is>
          <t>Eder Acosta</t>
        </is>
      </c>
      <c r="F4" t="inlineStr"/>
      <c r="G4" t="inlineStr">
        <is>
          <t>D</t>
        </is>
      </c>
      <c r="H4" t="inlineStr"/>
      <c r="I4" t="n">
        <v>76.5</v>
      </c>
      <c r="J4" t="n">
        <v>178</v>
      </c>
      <c r="K4" t="n">
        <v>7.8</v>
      </c>
      <c r="L4" t="n">
        <v>11</v>
      </c>
      <c r="M4" t="n">
        <v>4.8</v>
      </c>
      <c r="N4" t="n">
        <v>9.5</v>
      </c>
      <c r="O4" t="n">
        <v>8.9</v>
      </c>
      <c r="P4" t="n">
        <v>14</v>
      </c>
      <c r="Q4" t="n">
        <v>17.2</v>
      </c>
      <c r="R4" t="n">
        <v>11.5</v>
      </c>
      <c r="S4" t="n">
        <v>28</v>
      </c>
      <c r="T4" t="n">
        <v>31.5</v>
      </c>
      <c r="U4" t="n">
        <v>75.8</v>
      </c>
      <c r="V4" t="n">
        <v>94</v>
      </c>
      <c r="W4" t="n">
        <v>36.2</v>
      </c>
      <c r="X4" t="n">
        <v>6.9</v>
      </c>
      <c r="Y4" t="n">
        <v>9.6</v>
      </c>
      <c r="Z4">
        <f>IF(OR(I4="",J4=""),"",ROUND(I4/((J4/100)^2),2))</f>
        <v/>
      </c>
      <c r="AA4">
        <f>IF(I4="","",ROUND(IF(K4="",0,K4)+IF(L4="",0,L4)+IF(O4="",0,O4)+IF(P4="",0,P4)+IF(Q4="",0,Q4)+IF(R4="",0,R4),1))</f>
        <v/>
      </c>
      <c r="AB4">
        <f>IF(I4="","",ROUND(IF(K4="",0,K4)+IF(L4="",0,L4)+IF(M4="",0,M4)+IF(N4="",0,N4)+IF(O4="",0,O4)+IF(P4="",0,P4)+IF(Q4="",0,Q4)+IF(R4="",0,R4),1))</f>
        <v/>
      </c>
      <c r="AC4" t="inlineStr">
        <is>
          <t>Sí</t>
        </is>
      </c>
      <c r="AD4">
        <f>IF(A4="","",A4&amp;"-"&amp;TEXT(C4,"yyyymmdd"))</f>
        <v/>
      </c>
    </row>
    <row r="5">
      <c r="A5" t="inlineStr">
        <is>
          <t>DEP-002</t>
        </is>
      </c>
      <c r="B5">
        <f>IFERROR(INDEX(TablaDeportistas[primerApellido],MATCH(A5,TablaDeportistas[ID_Deportista],0))&amp;" "&amp;INDEX(TablaDeportistas[nombres],MATCH(A5,TablaDeportistas[ID_Deportista],0)),"")</f>
        <v/>
      </c>
      <c r="C5" t="inlineStr">
        <is>
          <t>2025-10-05</t>
        </is>
      </c>
      <c r="D5" t="inlineStr">
        <is>
          <t>08:30</t>
        </is>
      </c>
      <c r="E5" t="inlineStr">
        <is>
          <t>Eder Acosta</t>
        </is>
      </c>
      <c r="F5" t="inlineStr"/>
      <c r="G5" t="inlineStr">
        <is>
          <t>D</t>
        </is>
      </c>
      <c r="H5" t="inlineStr"/>
      <c r="I5" t="n">
        <v>62.5</v>
      </c>
      <c r="J5" t="n">
        <v>168</v>
      </c>
      <c r="K5" t="n">
        <v>14.2</v>
      </c>
      <c r="L5" t="n">
        <v>16.5</v>
      </c>
      <c r="M5" t="n">
        <v>8.1</v>
      </c>
      <c r="N5" t="n">
        <v>14.8</v>
      </c>
      <c r="O5" t="n">
        <v>13.5</v>
      </c>
      <c r="P5" t="n">
        <v>18.2</v>
      </c>
      <c r="Q5" t="n">
        <v>22.5</v>
      </c>
      <c r="R5" t="n">
        <v>16.8</v>
      </c>
      <c r="S5" t="n">
        <v>26.5</v>
      </c>
      <c r="T5" t="n">
        <v>29.8</v>
      </c>
      <c r="U5" t="n">
        <v>68.5</v>
      </c>
      <c r="V5" t="n">
        <v>98.5</v>
      </c>
      <c r="W5" t="n">
        <v>35.2</v>
      </c>
      <c r="X5" t="n">
        <v>5.8</v>
      </c>
      <c r="Y5" t="n">
        <v>8.199999999999999</v>
      </c>
      <c r="Z5">
        <f>IF(OR(I5="",J5=""),"",ROUND(I5/((J5/100)^2),2))</f>
        <v/>
      </c>
      <c r="AA5">
        <f>IF(I5="","",ROUND(IF(K5="",0,K5)+IF(L5="",0,L5)+IF(O5="",0,O5)+IF(P5="",0,P5)+IF(Q5="",0,Q5)+IF(R5="",0,R5),1))</f>
        <v/>
      </c>
      <c r="AB5">
        <f>IF(I5="","",ROUND(IF(K5="",0,K5)+IF(L5="",0,L5)+IF(M5="",0,M5)+IF(N5="",0,N5)+IF(O5="",0,O5)+IF(P5="",0,P5)+IF(Q5="",0,Q5)+IF(R5="",0,R5),1))</f>
        <v/>
      </c>
      <c r="AC5" t="inlineStr">
        <is>
          <t>Sí</t>
        </is>
      </c>
      <c r="AD5">
        <f>IF(A5="","",A5&amp;"-"&amp;TEXT(C5,"yyyymmdd"))</f>
        <v/>
      </c>
    </row>
    <row r="6">
      <c r="A6" t="inlineStr">
        <is>
          <t>DEP-002</t>
        </is>
      </c>
      <c r="B6">
        <f>IFERROR(INDEX(TablaDeportistas[primerApellido],MATCH(A6,TablaDeportistas[ID_Deportista],0))&amp;" "&amp;INDEX(TablaDeportistas[nombres],MATCH(A6,TablaDeportistas[ID_Deportista],0)),"")</f>
        <v/>
      </c>
      <c r="C6" t="inlineStr">
        <is>
          <t>2025-12-20</t>
        </is>
      </c>
      <c r="D6" t="inlineStr">
        <is>
          <t>08:30</t>
        </is>
      </c>
      <c r="E6" t="inlineStr">
        <is>
          <t>Eder Acosta</t>
        </is>
      </c>
      <c r="F6" t="inlineStr"/>
      <c r="G6" t="inlineStr">
        <is>
          <t>D</t>
        </is>
      </c>
      <c r="H6" t="inlineStr"/>
      <c r="I6" t="n">
        <v>61.8</v>
      </c>
      <c r="J6" t="n">
        <v>168</v>
      </c>
      <c r="K6" t="n">
        <v>13.8</v>
      </c>
      <c r="L6" t="n">
        <v>16</v>
      </c>
      <c r="M6" t="n">
        <v>7.9</v>
      </c>
      <c r="N6" t="n">
        <v>14.2</v>
      </c>
      <c r="O6" t="n">
        <v>13</v>
      </c>
      <c r="P6" t="n">
        <v>17.5</v>
      </c>
      <c r="Q6" t="n">
        <v>21.8</v>
      </c>
      <c r="R6" t="n">
        <v>16.2</v>
      </c>
      <c r="S6" t="n">
        <v>26.2</v>
      </c>
      <c r="T6" t="n">
        <v>29.5</v>
      </c>
      <c r="U6" t="n">
        <v>67.8</v>
      </c>
      <c r="V6" t="n">
        <v>97.8</v>
      </c>
      <c r="W6" t="n">
        <v>34.8</v>
      </c>
      <c r="X6" t="n">
        <v>5.8</v>
      </c>
      <c r="Y6" t="n">
        <v>8.199999999999999</v>
      </c>
      <c r="Z6">
        <f>IF(OR(I6="",J6=""),"",ROUND(I6/((J6/100)^2),2))</f>
        <v/>
      </c>
      <c r="AA6">
        <f>IF(I6="","",ROUND(IF(K6="",0,K6)+IF(L6="",0,L6)+IF(O6="",0,O6)+IF(P6="",0,P6)+IF(Q6="",0,Q6)+IF(R6="",0,R6),1))</f>
        <v/>
      </c>
      <c r="AB6">
        <f>IF(I6="","",ROUND(IF(K6="",0,K6)+IF(L6="",0,L6)+IF(M6="",0,M6)+IF(N6="",0,N6)+IF(O6="",0,O6)+IF(P6="",0,P6)+IF(Q6="",0,Q6)+IF(R6="",0,R6),1))</f>
        <v/>
      </c>
      <c r="AC6" t="inlineStr">
        <is>
          <t>Sí</t>
        </is>
      </c>
      <c r="AD6">
        <f>IF(A6="","",A6&amp;"-"&amp;TEXT(C6,"yyyymmdd"))</f>
        <v/>
      </c>
    </row>
    <row r="7">
      <c r="A7" t="inlineStr">
        <is>
          <t>DEP-002</t>
        </is>
      </c>
      <c r="B7">
        <f>IFERROR(INDEX(TablaDeportistas[primerApellido],MATCH(A7,TablaDeportistas[ID_Deportista],0))&amp;" "&amp;INDEX(TablaDeportistas[nombres],MATCH(A7,TablaDeportistas[ID_Deportista],0)),"")</f>
        <v/>
      </c>
      <c r="C7" t="inlineStr">
        <is>
          <t>2026-02-01</t>
        </is>
      </c>
      <c r="D7" t="inlineStr">
        <is>
          <t>08:30</t>
        </is>
      </c>
      <c r="E7" t="inlineStr">
        <is>
          <t>Eder Acosta</t>
        </is>
      </c>
      <c r="F7" t="inlineStr"/>
      <c r="G7" t="inlineStr">
        <is>
          <t>D</t>
        </is>
      </c>
      <c r="H7" t="inlineStr"/>
      <c r="I7" t="n">
        <v>61.2</v>
      </c>
      <c r="J7" t="n">
        <v>168</v>
      </c>
      <c r="K7" t="n">
        <v>13.5</v>
      </c>
      <c r="L7" t="n">
        <v>15.5</v>
      </c>
      <c r="M7" t="n">
        <v>7.7</v>
      </c>
      <c r="N7" t="n">
        <v>13.8</v>
      </c>
      <c r="O7" t="n">
        <v>12.6</v>
      </c>
      <c r="P7" t="n">
        <v>17</v>
      </c>
      <c r="Q7" t="n">
        <v>21.2</v>
      </c>
      <c r="R7" t="n">
        <v>15.8</v>
      </c>
      <c r="S7" t="n">
        <v>26</v>
      </c>
      <c r="T7" t="n">
        <v>29.2</v>
      </c>
      <c r="U7" t="n">
        <v>67.2</v>
      </c>
      <c r="V7" t="n">
        <v>97.2</v>
      </c>
      <c r="W7" t="n">
        <v>34.5</v>
      </c>
      <c r="X7" t="n">
        <v>5.9</v>
      </c>
      <c r="Y7" t="n">
        <v>8.300000000000001</v>
      </c>
      <c r="Z7">
        <f>IF(OR(I7="",J7=""),"",ROUND(I7/((J7/100)^2),2))</f>
        <v/>
      </c>
      <c r="AA7">
        <f>IF(I7="","",ROUND(IF(K7="",0,K7)+IF(L7="",0,L7)+IF(O7="",0,O7)+IF(P7="",0,P7)+IF(Q7="",0,Q7)+IF(R7="",0,R7),1))</f>
        <v/>
      </c>
      <c r="AB7">
        <f>IF(I7="","",ROUND(IF(K7="",0,K7)+IF(L7="",0,L7)+IF(M7="",0,M7)+IF(N7="",0,N7)+IF(O7="",0,O7)+IF(P7="",0,P7)+IF(Q7="",0,Q7)+IF(R7="",0,R7),1))</f>
        <v/>
      </c>
      <c r="AC7" t="inlineStr">
        <is>
          <t>Sí</t>
        </is>
      </c>
      <c r="AD7">
        <f>IF(A7="","",A7&amp;"-"&amp;TEXT(C7,"yyyymmdd"))</f>
        <v/>
      </c>
    </row>
    <row r="8">
      <c r="A8" t="inlineStr">
        <is>
          <t>DEP-003</t>
        </is>
      </c>
      <c r="B8">
        <f>IFERROR(INDEX(TablaDeportistas[primerApellido],MATCH(A8,TablaDeportistas[ID_Deportista],0))&amp;" "&amp;INDEX(TablaDeportistas[nombres],MATCH(A8,TablaDeportistas[ID_Deportista],0)),"")</f>
        <v/>
      </c>
      <c r="C8" t="inlineStr">
        <is>
          <t>2025-11-01</t>
        </is>
      </c>
      <c r="D8" t="inlineStr">
        <is>
          <t>08:30</t>
        </is>
      </c>
      <c r="E8" t="inlineStr">
        <is>
          <t>Eder Acosta</t>
        </is>
      </c>
      <c r="F8" t="inlineStr"/>
      <c r="G8" t="inlineStr">
        <is>
          <t>D</t>
        </is>
      </c>
      <c r="H8" t="inlineStr"/>
      <c r="I8" t="n">
        <v>55</v>
      </c>
      <c r="J8" t="n">
        <v>172</v>
      </c>
      <c r="K8" t="n">
        <v>6.5</v>
      </c>
      <c r="L8" t="n">
        <v>9.800000000000001</v>
      </c>
      <c r="M8" t="n">
        <v>4.2</v>
      </c>
      <c r="N8" t="n">
        <v>7.5</v>
      </c>
      <c r="O8" t="n">
        <v>7.2</v>
      </c>
      <c r="P8" t="n">
        <v>11.5</v>
      </c>
      <c r="Q8" t="n">
        <v>14.8</v>
      </c>
      <c r="R8" t="n">
        <v>9.5</v>
      </c>
      <c r="S8" t="n">
        <v>25.5</v>
      </c>
      <c r="T8" t="n">
        <v>28.5</v>
      </c>
      <c r="U8" t="n">
        <v>72</v>
      </c>
      <c r="V8" t="n">
        <v>88.5</v>
      </c>
      <c r="W8" t="n">
        <v>34.2</v>
      </c>
      <c r="X8" t="n">
        <v>6.2</v>
      </c>
      <c r="Y8" t="n">
        <v>8.800000000000001</v>
      </c>
      <c r="Z8">
        <f>IF(OR(I8="",J8=""),"",ROUND(I8/((J8/100)^2),2))</f>
        <v/>
      </c>
      <c r="AA8">
        <f>IF(I8="","",ROUND(IF(K8="",0,K8)+IF(L8="",0,L8)+IF(O8="",0,O8)+IF(P8="",0,P8)+IF(Q8="",0,Q8)+IF(R8="",0,R8),1))</f>
        <v/>
      </c>
      <c r="AB8">
        <f>IF(I8="","",ROUND(IF(K8="",0,K8)+IF(L8="",0,L8)+IF(M8="",0,M8)+IF(N8="",0,N8)+IF(O8="",0,O8)+IF(P8="",0,P8)+IF(Q8="",0,Q8)+IF(R8="",0,R8),1))</f>
        <v/>
      </c>
      <c r="AC8" t="inlineStr">
        <is>
          <t>Sí</t>
        </is>
      </c>
      <c r="AD8">
        <f>IF(A8="","",A8&amp;"-"&amp;TEXT(C8,"yyyymmdd"))</f>
        <v/>
      </c>
    </row>
    <row r="9">
      <c r="A9" t="inlineStr">
        <is>
          <t>DEP-003</t>
        </is>
      </c>
      <c r="B9">
        <f>IFERROR(INDEX(TablaDeportistas[primerApellido],MATCH(A9,TablaDeportistas[ID_Deportista],0))&amp;" "&amp;INDEX(TablaDeportistas[nombres],MATCH(A9,TablaDeportistas[ID_Deportista],0)),"")</f>
        <v/>
      </c>
      <c r="C9" t="inlineStr">
        <is>
          <t>2026-01-20</t>
        </is>
      </c>
      <c r="D9" t="inlineStr">
        <is>
          <t>08:30</t>
        </is>
      </c>
      <c r="E9" t="inlineStr">
        <is>
          <t>Eder Acosta</t>
        </is>
      </c>
      <c r="F9" t="inlineStr"/>
      <c r="G9" t="inlineStr">
        <is>
          <t>D</t>
        </is>
      </c>
      <c r="H9" t="inlineStr"/>
      <c r="I9" t="n">
        <v>56.2</v>
      </c>
      <c r="J9" t="n">
        <v>173</v>
      </c>
      <c r="K9" t="n">
        <v>6.8</v>
      </c>
      <c r="L9" t="n">
        <v>10</v>
      </c>
      <c r="M9" t="n">
        <v>4.3</v>
      </c>
      <c r="N9" t="n">
        <v>7.8</v>
      </c>
      <c r="O9" t="n">
        <v>7.5</v>
      </c>
      <c r="P9" t="n">
        <v>11.8</v>
      </c>
      <c r="Q9" t="n">
        <v>15</v>
      </c>
      <c r="R9" t="n">
        <v>9.800000000000001</v>
      </c>
      <c r="S9" t="n">
        <v>26</v>
      </c>
      <c r="T9" t="n">
        <v>29</v>
      </c>
      <c r="U9" t="n">
        <v>71.5</v>
      </c>
      <c r="V9" t="n">
        <v>89</v>
      </c>
      <c r="W9" t="n">
        <v>34.5</v>
      </c>
      <c r="X9" t="n">
        <v>6.3</v>
      </c>
      <c r="Y9" t="n">
        <v>8.9</v>
      </c>
      <c r="Z9">
        <f>IF(OR(I9="",J9=""),"",ROUND(I9/((J9/100)^2),2))</f>
        <v/>
      </c>
      <c r="AA9">
        <f>IF(I9="","",ROUND(IF(K9="",0,K9)+IF(L9="",0,L9)+IF(O9="",0,O9)+IF(P9="",0,P9)+IF(Q9="",0,Q9)+IF(R9="",0,R9),1))</f>
        <v/>
      </c>
      <c r="AB9">
        <f>IF(I9="","",ROUND(IF(K9="",0,K9)+IF(L9="",0,L9)+IF(M9="",0,M9)+IF(N9="",0,N9)+IF(O9="",0,O9)+IF(P9="",0,P9)+IF(Q9="",0,Q9)+IF(R9="",0,R9),1))</f>
        <v/>
      </c>
      <c r="AC9" t="inlineStr">
        <is>
          <t>Sí</t>
        </is>
      </c>
      <c r="AD9">
        <f>IF(A9="","",A9&amp;"-"&amp;TEXT(C9,"yyyymmdd"))</f>
        <v/>
      </c>
    </row>
    <row r="10">
      <c r="A10" t="inlineStr">
        <is>
          <t>DEP-004</t>
        </is>
      </c>
      <c r="B10">
        <f>IFERROR(INDEX(TablaDeportistas[primerApellido],MATCH(A10,TablaDeportistas[ID_Deportista],0))&amp;" "&amp;INDEX(TablaDeportistas[nombres],MATCH(A10,TablaDeportistas[ID_Deportista],0)),"")</f>
        <v/>
      </c>
      <c r="C10" t="inlineStr">
        <is>
          <t>2025-10-10</t>
        </is>
      </c>
      <c r="D10" t="inlineStr">
        <is>
          <t>08:30</t>
        </is>
      </c>
      <c r="E10" t="inlineStr">
        <is>
          <t>Eder Acosta</t>
        </is>
      </c>
      <c r="F10" t="inlineStr"/>
      <c r="G10" t="inlineStr">
        <is>
          <t>D</t>
        </is>
      </c>
      <c r="H10" t="inlineStr"/>
      <c r="I10" t="n">
        <v>68.5</v>
      </c>
      <c r="J10" t="n">
        <v>175</v>
      </c>
      <c r="K10" t="n">
        <v>12.5</v>
      </c>
      <c r="L10" t="n">
        <v>14.8</v>
      </c>
      <c r="M10" t="n">
        <v>7.5</v>
      </c>
      <c r="N10" t="n">
        <v>12.5</v>
      </c>
      <c r="O10" t="n">
        <v>11.8</v>
      </c>
      <c r="P10" t="n">
        <v>16.5</v>
      </c>
      <c r="Q10" t="n">
        <v>20.5</v>
      </c>
      <c r="R10" t="n">
        <v>14.5</v>
      </c>
      <c r="S10" t="n">
        <v>27.8</v>
      </c>
      <c r="T10" t="n">
        <v>31.2</v>
      </c>
      <c r="U10" t="n">
        <v>72.5</v>
      </c>
      <c r="V10" t="n">
        <v>96.5</v>
      </c>
      <c r="W10" t="n">
        <v>35.8</v>
      </c>
      <c r="X10" t="n">
        <v>6.5</v>
      </c>
      <c r="Y10" t="n">
        <v>9</v>
      </c>
      <c r="Z10">
        <f>IF(OR(I10="",J10=""),"",ROUND(I10/((J10/100)^2),2))</f>
        <v/>
      </c>
      <c r="AA10">
        <f>IF(I10="","",ROUND(IF(K10="",0,K10)+IF(L10="",0,L10)+IF(O10="",0,O10)+IF(P10="",0,P10)+IF(Q10="",0,Q10)+IF(R10="",0,R10),1))</f>
        <v/>
      </c>
      <c r="AB10">
        <f>IF(I10="","",ROUND(IF(K10="",0,K10)+IF(L10="",0,L10)+IF(M10="",0,M10)+IF(N10="",0,N10)+IF(O10="",0,O10)+IF(P10="",0,P10)+IF(Q10="",0,Q10)+IF(R10="",0,R10),1))</f>
        <v/>
      </c>
      <c r="AC10" t="inlineStr">
        <is>
          <t>Sí</t>
        </is>
      </c>
      <c r="AD10">
        <f>IF(A10="","",A10&amp;"-"&amp;TEXT(C10,"yyyymmdd"))</f>
        <v/>
      </c>
    </row>
    <row r="11">
      <c r="A11" t="inlineStr">
        <is>
          <t>DEP-004</t>
        </is>
      </c>
      <c r="B11">
        <f>IFERROR(INDEX(TablaDeportistas[primerApellido],MATCH(A11,TablaDeportistas[ID_Deportista],0))&amp;" "&amp;INDEX(TablaDeportistas[nombres],MATCH(A11,TablaDeportistas[ID_Deportista],0)),"")</f>
        <v/>
      </c>
      <c r="C11" t="inlineStr">
        <is>
          <t>2026-01-05</t>
        </is>
      </c>
      <c r="D11" t="inlineStr">
        <is>
          <t>08:30</t>
        </is>
      </c>
      <c r="E11" t="inlineStr">
        <is>
          <t>Eder Acosta</t>
        </is>
      </c>
      <c r="F11" t="inlineStr"/>
      <c r="G11" t="inlineStr">
        <is>
          <t>D</t>
        </is>
      </c>
      <c r="H11" t="inlineStr"/>
      <c r="I11" t="n">
        <v>67.8</v>
      </c>
      <c r="J11" t="n">
        <v>175</v>
      </c>
      <c r="K11" t="n">
        <v>12</v>
      </c>
      <c r="L11" t="n">
        <v>14.2</v>
      </c>
      <c r="M11" t="n">
        <v>7.2</v>
      </c>
      <c r="N11" t="n">
        <v>12</v>
      </c>
      <c r="O11" t="n">
        <v>11.2</v>
      </c>
      <c r="P11" t="n">
        <v>16</v>
      </c>
      <c r="Q11" t="n">
        <v>19.8</v>
      </c>
      <c r="R11" t="n">
        <v>14</v>
      </c>
      <c r="S11" t="n">
        <v>27.5</v>
      </c>
      <c r="T11" t="n">
        <v>30.8</v>
      </c>
      <c r="U11" t="n">
        <v>71.8</v>
      </c>
      <c r="V11" t="n">
        <v>95.8</v>
      </c>
      <c r="W11" t="n">
        <v>35.5</v>
      </c>
      <c r="X11" t="n">
        <v>6.5</v>
      </c>
      <c r="Y11" t="n">
        <v>9</v>
      </c>
      <c r="Z11">
        <f>IF(OR(I11="",J11=""),"",ROUND(I11/((J11/100)^2),2))</f>
        <v/>
      </c>
      <c r="AA11">
        <f>IF(I11="","",ROUND(IF(K11="",0,K11)+IF(L11="",0,L11)+IF(O11="",0,O11)+IF(P11="",0,P11)+IF(Q11="",0,Q11)+IF(R11="",0,R11),1))</f>
        <v/>
      </c>
      <c r="AB11">
        <f>IF(I11="","",ROUND(IF(K11="",0,K11)+IF(L11="",0,L11)+IF(M11="",0,M11)+IF(N11="",0,N11)+IF(O11="",0,O11)+IF(P11="",0,P11)+IF(Q11="",0,Q11)+IF(R11="",0,R11),1))</f>
        <v/>
      </c>
      <c r="AC11" t="inlineStr">
        <is>
          <t>Sí</t>
        </is>
      </c>
      <c r="AD11">
        <f>IF(A11="","",A11&amp;"-"&amp;TEXT(C11,"yyyymmdd"))</f>
        <v/>
      </c>
    </row>
    <row r="12">
      <c r="A12" t="inlineStr">
        <is>
          <t>DEP-005</t>
        </is>
      </c>
      <c r="B12">
        <f>IFERROR(INDEX(TablaDeportistas[primerApellido],MATCH(A12,TablaDeportistas[ID_Deportista],0))&amp;" "&amp;INDEX(TablaDeportistas[nombres],MATCH(A12,TablaDeportistas[ID_Deportista],0)),"")</f>
        <v/>
      </c>
      <c r="C12" t="inlineStr">
        <is>
          <t>2025-09-15</t>
        </is>
      </c>
      <c r="D12" t="inlineStr">
        <is>
          <t>08:30</t>
        </is>
      </c>
      <c r="E12" t="inlineStr">
        <is>
          <t>Eder Acosta</t>
        </is>
      </c>
      <c r="F12" t="inlineStr"/>
      <c r="G12" t="inlineStr">
        <is>
          <t>D</t>
        </is>
      </c>
      <c r="H12" t="inlineStr"/>
      <c r="I12" t="n">
        <v>72</v>
      </c>
      <c r="J12" t="n">
        <v>180</v>
      </c>
      <c r="K12" t="n">
        <v>7.2</v>
      </c>
      <c r="L12" t="n">
        <v>10.5</v>
      </c>
      <c r="M12" t="n">
        <v>4.8</v>
      </c>
      <c r="N12" t="n">
        <v>8.5</v>
      </c>
      <c r="O12" t="n">
        <v>8</v>
      </c>
      <c r="P12" t="n">
        <v>12.8</v>
      </c>
      <c r="Q12" t="n">
        <v>16.5</v>
      </c>
      <c r="R12" t="n">
        <v>10.5</v>
      </c>
      <c r="S12" t="n">
        <v>29.5</v>
      </c>
      <c r="T12" t="n">
        <v>33.5</v>
      </c>
      <c r="U12" t="n">
        <v>76.5</v>
      </c>
      <c r="V12" t="n">
        <v>92.5</v>
      </c>
      <c r="W12" t="n">
        <v>37.5</v>
      </c>
      <c r="X12" t="n">
        <v>7.2</v>
      </c>
      <c r="Y12" t="n">
        <v>10</v>
      </c>
      <c r="Z12">
        <f>IF(OR(I12="",J12=""),"",ROUND(I12/((J12/100)^2),2))</f>
        <v/>
      </c>
      <c r="AA12">
        <f>IF(I12="","",ROUND(IF(K12="",0,K12)+IF(L12="",0,L12)+IF(O12="",0,O12)+IF(P12="",0,P12)+IF(Q12="",0,Q12)+IF(R12="",0,R12),1))</f>
        <v/>
      </c>
      <c r="AB12">
        <f>IF(I12="","",ROUND(IF(K12="",0,K12)+IF(L12="",0,L12)+IF(M12="",0,M12)+IF(N12="",0,N12)+IF(O12="",0,O12)+IF(P12="",0,P12)+IF(Q12="",0,Q12)+IF(R12="",0,R12),1))</f>
        <v/>
      </c>
      <c r="AC12" t="inlineStr">
        <is>
          <t>Sí</t>
        </is>
      </c>
      <c r="AD12">
        <f>IF(A12="","",A12&amp;"-"&amp;TEXT(C12,"yyyymmdd"))</f>
        <v/>
      </c>
    </row>
    <row r="13">
      <c r="A13" t="inlineStr">
        <is>
          <t>DEP-005</t>
        </is>
      </c>
      <c r="B13">
        <f>IFERROR(INDEX(TablaDeportistas[primerApellido],MATCH(A13,TablaDeportistas[ID_Deportista],0))&amp;" "&amp;INDEX(TablaDeportistas[nombres],MATCH(A13,TablaDeportistas[ID_Deportista],0)),"")</f>
        <v/>
      </c>
      <c r="C13" t="inlineStr">
        <is>
          <t>2025-12-01</t>
        </is>
      </c>
      <c r="D13" t="inlineStr">
        <is>
          <t>08:30</t>
        </is>
      </c>
      <c r="E13" t="inlineStr">
        <is>
          <t>Eder Acosta</t>
        </is>
      </c>
      <c r="F13" t="inlineStr"/>
      <c r="G13" t="inlineStr">
        <is>
          <t>D</t>
        </is>
      </c>
      <c r="H13" t="inlineStr"/>
      <c r="I13" t="n">
        <v>71.2</v>
      </c>
      <c r="J13" t="n">
        <v>180</v>
      </c>
      <c r="K13" t="n">
        <v>6.8</v>
      </c>
      <c r="L13" t="n">
        <v>10</v>
      </c>
      <c r="M13" t="n">
        <v>4.5</v>
      </c>
      <c r="N13" t="n">
        <v>8</v>
      </c>
      <c r="O13" t="n">
        <v>7.5</v>
      </c>
      <c r="P13" t="n">
        <v>12.2</v>
      </c>
      <c r="Q13" t="n">
        <v>16</v>
      </c>
      <c r="R13" t="n">
        <v>10</v>
      </c>
      <c r="S13" t="n">
        <v>29.2</v>
      </c>
      <c r="T13" t="n">
        <v>33</v>
      </c>
      <c r="U13" t="n">
        <v>75.8</v>
      </c>
      <c r="V13" t="n">
        <v>92</v>
      </c>
      <c r="W13" t="n">
        <v>37.2</v>
      </c>
      <c r="X13" t="n">
        <v>7.2</v>
      </c>
      <c r="Y13" t="n">
        <v>10</v>
      </c>
      <c r="Z13">
        <f>IF(OR(I13="",J13=""),"",ROUND(I13/((J13/100)^2),2))</f>
        <v/>
      </c>
      <c r="AA13">
        <f>IF(I13="","",ROUND(IF(K13="",0,K13)+IF(L13="",0,L13)+IF(O13="",0,O13)+IF(P13="",0,P13)+IF(Q13="",0,Q13)+IF(R13="",0,R13),1))</f>
        <v/>
      </c>
      <c r="AB13">
        <f>IF(I13="","",ROUND(IF(K13="",0,K13)+IF(L13="",0,L13)+IF(M13="",0,M13)+IF(N13="",0,N13)+IF(O13="",0,O13)+IF(P13="",0,P13)+IF(Q13="",0,Q13)+IF(R13="",0,R13),1))</f>
        <v/>
      </c>
      <c r="AC13" t="inlineStr">
        <is>
          <t>Sí</t>
        </is>
      </c>
      <c r="AD13">
        <f>IF(A13="","",A13&amp;"-"&amp;TEXT(C13,"yyyymmdd"))</f>
        <v/>
      </c>
    </row>
    <row r="14">
      <c r="A14" t="inlineStr">
        <is>
          <t>DEP-005</t>
        </is>
      </c>
      <c r="B14">
        <f>IFERROR(INDEX(TablaDeportistas[primerApellido],MATCH(A14,TablaDeportistas[ID_Deportista],0))&amp;" "&amp;INDEX(TablaDeportistas[nombres],MATCH(A14,TablaDeportistas[ID_Deportista],0)),"")</f>
        <v/>
      </c>
      <c r="C14" t="inlineStr">
        <is>
          <t>2026-02-15</t>
        </is>
      </c>
      <c r="D14" t="inlineStr">
        <is>
          <t>08:30</t>
        </is>
      </c>
      <c r="E14" t="inlineStr">
        <is>
          <t>Eder Acosta</t>
        </is>
      </c>
      <c r="F14" t="inlineStr"/>
      <c r="G14" t="inlineStr">
        <is>
          <t>D</t>
        </is>
      </c>
      <c r="H14" t="inlineStr"/>
      <c r="I14" t="n">
        <v>70.5</v>
      </c>
      <c r="J14" t="n">
        <v>180</v>
      </c>
      <c r="K14" t="n">
        <v>6.5</v>
      </c>
      <c r="L14" t="n">
        <v>9.5</v>
      </c>
      <c r="M14" t="n">
        <v>4.3</v>
      </c>
      <c r="N14" t="n">
        <v>7.8</v>
      </c>
      <c r="O14" t="n">
        <v>7.2</v>
      </c>
      <c r="P14" t="n">
        <v>11.8</v>
      </c>
      <c r="Q14" t="n">
        <v>15.5</v>
      </c>
      <c r="R14" t="n">
        <v>9.800000000000001</v>
      </c>
      <c r="S14" t="n">
        <v>29</v>
      </c>
      <c r="T14" t="n">
        <v>32.8</v>
      </c>
      <c r="U14" t="n">
        <v>75.2</v>
      </c>
      <c r="V14" t="n">
        <v>91.5</v>
      </c>
      <c r="W14" t="n">
        <v>37</v>
      </c>
      <c r="X14" t="n">
        <v>7.3</v>
      </c>
      <c r="Y14" t="n">
        <v>10.1</v>
      </c>
      <c r="Z14">
        <f>IF(OR(I14="",J14=""),"",ROUND(I14/((J14/100)^2),2))</f>
        <v/>
      </c>
      <c r="AA14">
        <f>IF(I14="","",ROUND(IF(K14="",0,K14)+IF(L14="",0,L14)+IF(O14="",0,O14)+IF(P14="",0,P14)+IF(Q14="",0,Q14)+IF(R14="",0,R14),1))</f>
        <v/>
      </c>
      <c r="AB14">
        <f>IF(I14="","",ROUND(IF(K14="",0,K14)+IF(L14="",0,L14)+IF(M14="",0,M14)+IF(N14="",0,N14)+IF(O14="",0,O14)+IF(P14="",0,P14)+IF(Q14="",0,Q14)+IF(R14="",0,R14),1))</f>
        <v/>
      </c>
      <c r="AC14" t="inlineStr">
        <is>
          <t>Sí</t>
        </is>
      </c>
      <c r="AD14">
        <f>IF(A14="","",A14&amp;"-"&amp;TEXT(C14,"yyyymmdd"))</f>
        <v/>
      </c>
    </row>
    <row r="15">
      <c r="B15">
        <f>IFERROR(INDEX(TablaDeportistas[primerApellido],MATCH(A15,TablaDeportistas[ID_Deportista],0))&amp;" "&amp;INDEX(TablaDeportistas[nombres],MATCH(A15,TablaDeportistas[ID_Deportista],0)),"")</f>
        <v/>
      </c>
      <c r="Z15">
        <f>IF(OR(I15="",J15=""),"",ROUND(I15/((J15/100)^2),2))</f>
        <v/>
      </c>
      <c r="AA15">
        <f>IF(I15="","",ROUND(IF(K15="",0,K15)+IF(L15="",0,L15)+IF(O15="",0,O15)+IF(P15="",0,P15)+IF(Q15="",0,Q15)+IF(R15="",0,R15),1))</f>
        <v/>
      </c>
      <c r="AB15">
        <f>IF(I15="","",ROUND(IF(K15="",0,K15)+IF(L15="",0,L15)+IF(M15="",0,M15)+IF(N15="",0,N15)+IF(O15="",0,O15)+IF(P15="",0,P15)+IF(Q15="",0,Q15)+IF(R15="",0,R15),1))</f>
        <v/>
      </c>
      <c r="AD15">
        <f>IF(A15="","",A15&amp;"-"&amp;TEXT(C15,"yyyymmdd"))</f>
        <v/>
      </c>
    </row>
    <row r="16">
      <c r="B16">
        <f>IFERROR(INDEX(TablaDeportistas[primerApellido],MATCH(A16,TablaDeportistas[ID_Deportista],0))&amp;" "&amp;INDEX(TablaDeportistas[nombres],MATCH(A16,TablaDeportistas[ID_Deportista],0)),"")</f>
        <v/>
      </c>
      <c r="Z16">
        <f>IF(OR(I16="",J16=""),"",ROUND(I16/((J16/100)^2),2))</f>
        <v/>
      </c>
      <c r="AA16">
        <f>IF(I16="","",ROUND(IF(K16="",0,K16)+IF(L16="",0,L16)+IF(O16="",0,O16)+IF(P16="",0,P16)+IF(Q16="",0,Q16)+IF(R16="",0,R16),1))</f>
        <v/>
      </c>
      <c r="AB16">
        <f>IF(I16="","",ROUND(IF(K16="",0,K16)+IF(L16="",0,L16)+IF(M16="",0,M16)+IF(N16="",0,N16)+IF(O16="",0,O16)+IF(P16="",0,P16)+IF(Q16="",0,Q16)+IF(R16="",0,R16),1))</f>
        <v/>
      </c>
      <c r="AD16">
        <f>IF(A16="","",A16&amp;"-"&amp;TEXT(C16,"yyyymmdd"))</f>
        <v/>
      </c>
    </row>
    <row r="17">
      <c r="B17">
        <f>IFERROR(INDEX(TablaDeportistas[primerApellido],MATCH(A17,TablaDeportistas[ID_Deportista],0))&amp;" "&amp;INDEX(TablaDeportistas[nombres],MATCH(A17,TablaDeportistas[ID_Deportista],0)),"")</f>
        <v/>
      </c>
      <c r="Z17">
        <f>IF(OR(I17="",J17=""),"",ROUND(I17/((J17/100)^2),2))</f>
        <v/>
      </c>
      <c r="AA17">
        <f>IF(I17="","",ROUND(IF(K17="",0,K17)+IF(L17="",0,L17)+IF(O17="",0,O17)+IF(P17="",0,P17)+IF(Q17="",0,Q17)+IF(R17="",0,R17),1))</f>
        <v/>
      </c>
      <c r="AB17">
        <f>IF(I17="","",ROUND(IF(K17="",0,K17)+IF(L17="",0,L17)+IF(M17="",0,M17)+IF(N17="",0,N17)+IF(O17="",0,O17)+IF(P17="",0,P17)+IF(Q17="",0,Q17)+IF(R17="",0,R17),1))</f>
        <v/>
      </c>
      <c r="AD17">
        <f>IF(A17="","",A17&amp;"-"&amp;TEXT(C17,"yyyymmdd"))</f>
        <v/>
      </c>
    </row>
    <row r="18">
      <c r="B18">
        <f>IFERROR(INDEX(TablaDeportistas[primerApellido],MATCH(A18,TablaDeportistas[ID_Deportista],0))&amp;" "&amp;INDEX(TablaDeportistas[nombres],MATCH(A18,TablaDeportistas[ID_Deportista],0)),"")</f>
        <v/>
      </c>
      <c r="Z18">
        <f>IF(OR(I18="",J18=""),"",ROUND(I18/((J18/100)^2),2))</f>
        <v/>
      </c>
      <c r="AA18">
        <f>IF(I18="","",ROUND(IF(K18="",0,K18)+IF(L18="",0,L18)+IF(O18="",0,O18)+IF(P18="",0,P18)+IF(Q18="",0,Q18)+IF(R18="",0,R18),1))</f>
        <v/>
      </c>
      <c r="AB18">
        <f>IF(I18="","",ROUND(IF(K18="",0,K18)+IF(L18="",0,L18)+IF(M18="",0,M18)+IF(N18="",0,N18)+IF(O18="",0,O18)+IF(P18="",0,P18)+IF(Q18="",0,Q18)+IF(R18="",0,R18),1))</f>
        <v/>
      </c>
      <c r="AD18">
        <f>IF(A18="","",A18&amp;"-"&amp;TEXT(C18,"yyyymmdd"))</f>
        <v/>
      </c>
    </row>
    <row r="19">
      <c r="B19">
        <f>IFERROR(INDEX(TablaDeportistas[primerApellido],MATCH(A19,TablaDeportistas[ID_Deportista],0))&amp;" "&amp;INDEX(TablaDeportistas[nombres],MATCH(A19,TablaDeportistas[ID_Deportista],0)),"")</f>
        <v/>
      </c>
      <c r="Z19">
        <f>IF(OR(I19="",J19=""),"",ROUND(I19/((J19/100)^2),2))</f>
        <v/>
      </c>
      <c r="AA19">
        <f>IF(I19="","",ROUND(IF(K19="",0,K19)+IF(L19="",0,L19)+IF(O19="",0,O19)+IF(P19="",0,P19)+IF(Q19="",0,Q19)+IF(R19="",0,R19),1))</f>
        <v/>
      </c>
      <c r="AB19">
        <f>IF(I19="","",ROUND(IF(K19="",0,K19)+IF(L19="",0,L19)+IF(M19="",0,M19)+IF(N19="",0,N19)+IF(O19="",0,O19)+IF(P19="",0,P19)+IF(Q19="",0,Q19)+IF(R19="",0,R19),1))</f>
        <v/>
      </c>
      <c r="AD19">
        <f>IF(A19="","",A19&amp;"-"&amp;TEXT(C19,"yyyymmdd"))</f>
        <v/>
      </c>
    </row>
    <row r="20">
      <c r="B20">
        <f>IFERROR(INDEX(TablaDeportistas[primerApellido],MATCH(A20,TablaDeportistas[ID_Deportista],0))&amp;" "&amp;INDEX(TablaDeportistas[nombres],MATCH(A20,TablaDeportistas[ID_Deportista],0)),"")</f>
        <v/>
      </c>
      <c r="Z20">
        <f>IF(OR(I20="",J20=""),"",ROUND(I20/((J20/100)^2),2))</f>
        <v/>
      </c>
      <c r="AA20">
        <f>IF(I20="","",ROUND(IF(K20="",0,K20)+IF(L20="",0,L20)+IF(O20="",0,O20)+IF(P20="",0,P20)+IF(Q20="",0,Q20)+IF(R20="",0,R20),1))</f>
        <v/>
      </c>
      <c r="AB20">
        <f>IF(I20="","",ROUND(IF(K20="",0,K20)+IF(L20="",0,L20)+IF(M20="",0,M20)+IF(N20="",0,N20)+IF(O20="",0,O20)+IF(P20="",0,P20)+IF(Q20="",0,Q20)+IF(R20="",0,R20),1))</f>
        <v/>
      </c>
      <c r="AD20">
        <f>IF(A20="","",A20&amp;"-"&amp;TEXT(C20,"yyyymmdd"))</f>
        <v/>
      </c>
    </row>
    <row r="21">
      <c r="B21">
        <f>IFERROR(INDEX(TablaDeportistas[primerApellido],MATCH(A21,TablaDeportistas[ID_Deportista],0))&amp;" "&amp;INDEX(TablaDeportistas[nombres],MATCH(A21,TablaDeportistas[ID_Deportista],0)),"")</f>
        <v/>
      </c>
      <c r="Z21">
        <f>IF(OR(I21="",J21=""),"",ROUND(I21/((J21/100)^2),2))</f>
        <v/>
      </c>
      <c r="AA21">
        <f>IF(I21="","",ROUND(IF(K21="",0,K21)+IF(L21="",0,L21)+IF(O21="",0,O21)+IF(P21="",0,P21)+IF(Q21="",0,Q21)+IF(R21="",0,R21),1))</f>
        <v/>
      </c>
      <c r="AB21">
        <f>IF(I21="","",ROUND(IF(K21="",0,K21)+IF(L21="",0,L21)+IF(M21="",0,M21)+IF(N21="",0,N21)+IF(O21="",0,O21)+IF(P21="",0,P21)+IF(Q21="",0,Q21)+IF(R21="",0,R21),1))</f>
        <v/>
      </c>
      <c r="AD21">
        <f>IF(A21="","",A21&amp;"-"&amp;TEXT(C21,"yyyymmdd"))</f>
        <v/>
      </c>
    </row>
    <row r="22">
      <c r="B22">
        <f>IFERROR(INDEX(TablaDeportistas[primerApellido],MATCH(A22,TablaDeportistas[ID_Deportista],0))&amp;" "&amp;INDEX(TablaDeportistas[nombres],MATCH(A22,TablaDeportistas[ID_Deportista],0)),"")</f>
        <v/>
      </c>
      <c r="Z22">
        <f>IF(OR(I22="",J22=""),"",ROUND(I22/((J22/100)^2),2))</f>
        <v/>
      </c>
      <c r="AA22">
        <f>IF(I22="","",ROUND(IF(K22="",0,K22)+IF(L22="",0,L22)+IF(O22="",0,O22)+IF(P22="",0,P22)+IF(Q22="",0,Q22)+IF(R22="",0,R22),1))</f>
        <v/>
      </c>
      <c r="AB22">
        <f>IF(I22="","",ROUND(IF(K22="",0,K22)+IF(L22="",0,L22)+IF(M22="",0,M22)+IF(N22="",0,N22)+IF(O22="",0,O22)+IF(P22="",0,P22)+IF(Q22="",0,Q22)+IF(R22="",0,R22),1))</f>
        <v/>
      </c>
      <c r="AD22">
        <f>IF(A22="","",A22&amp;"-"&amp;TEXT(C22,"yyyymmdd"))</f>
        <v/>
      </c>
    </row>
    <row r="23">
      <c r="B23">
        <f>IFERROR(INDEX(TablaDeportistas[primerApellido],MATCH(A23,TablaDeportistas[ID_Deportista],0))&amp;" "&amp;INDEX(TablaDeportistas[nombres],MATCH(A23,TablaDeportistas[ID_Deportista],0)),"")</f>
        <v/>
      </c>
      <c r="Z23">
        <f>IF(OR(I23="",J23=""),"",ROUND(I23/((J23/100)^2),2))</f>
        <v/>
      </c>
      <c r="AA23">
        <f>IF(I23="","",ROUND(IF(K23="",0,K23)+IF(L23="",0,L23)+IF(O23="",0,O23)+IF(P23="",0,P23)+IF(Q23="",0,Q23)+IF(R23="",0,R23),1))</f>
        <v/>
      </c>
      <c r="AB23">
        <f>IF(I23="","",ROUND(IF(K23="",0,K23)+IF(L23="",0,L23)+IF(M23="",0,M23)+IF(N23="",0,N23)+IF(O23="",0,O23)+IF(P23="",0,P23)+IF(Q23="",0,Q23)+IF(R23="",0,R23),1))</f>
        <v/>
      </c>
      <c r="AD23">
        <f>IF(A23="","",A23&amp;"-"&amp;TEXT(C23,"yyyymmdd"))</f>
        <v/>
      </c>
    </row>
    <row r="24">
      <c r="B24">
        <f>IFERROR(INDEX(TablaDeportistas[primerApellido],MATCH(A24,TablaDeportistas[ID_Deportista],0))&amp;" "&amp;INDEX(TablaDeportistas[nombres],MATCH(A24,TablaDeportistas[ID_Deportista],0)),"")</f>
        <v/>
      </c>
      <c r="Z24">
        <f>IF(OR(I24="",J24=""),"",ROUND(I24/((J24/100)^2),2))</f>
        <v/>
      </c>
      <c r="AA24">
        <f>IF(I24="","",ROUND(IF(K24="",0,K24)+IF(L24="",0,L24)+IF(O24="",0,O24)+IF(P24="",0,P24)+IF(Q24="",0,Q24)+IF(R24="",0,R24),1))</f>
        <v/>
      </c>
      <c r="AB24">
        <f>IF(I24="","",ROUND(IF(K24="",0,K24)+IF(L24="",0,L24)+IF(M24="",0,M24)+IF(N24="",0,N24)+IF(O24="",0,O24)+IF(P24="",0,P24)+IF(Q24="",0,Q24)+IF(R24="",0,R24),1))</f>
        <v/>
      </c>
      <c r="AD24">
        <f>IF(A24="","",A24&amp;"-"&amp;TEXT(C24,"yyyymmdd"))</f>
        <v/>
      </c>
    </row>
    <row r="25">
      <c r="B25">
        <f>IFERROR(INDEX(TablaDeportistas[primerApellido],MATCH(A25,TablaDeportistas[ID_Deportista],0))&amp;" "&amp;INDEX(TablaDeportistas[nombres],MATCH(A25,TablaDeportistas[ID_Deportista],0)),"")</f>
        <v/>
      </c>
      <c r="Z25">
        <f>IF(OR(I25="",J25=""),"",ROUND(I25/((J25/100)^2),2))</f>
        <v/>
      </c>
      <c r="AA25">
        <f>IF(I25="","",ROUND(IF(K25="",0,K25)+IF(L25="",0,L25)+IF(O25="",0,O25)+IF(P25="",0,P25)+IF(Q25="",0,Q25)+IF(R25="",0,R25),1))</f>
        <v/>
      </c>
      <c r="AB25">
        <f>IF(I25="","",ROUND(IF(K25="",0,K25)+IF(L25="",0,L25)+IF(M25="",0,M25)+IF(N25="",0,N25)+IF(O25="",0,O25)+IF(P25="",0,P25)+IF(Q25="",0,Q25)+IF(R25="",0,R25),1))</f>
        <v/>
      </c>
      <c r="AD25">
        <f>IF(A25="","",A25&amp;"-"&amp;TEXT(C25,"yyyymmdd"))</f>
        <v/>
      </c>
    </row>
    <row r="26">
      <c r="B26">
        <f>IFERROR(INDEX(TablaDeportistas[primerApellido],MATCH(A26,TablaDeportistas[ID_Deportista],0))&amp;" "&amp;INDEX(TablaDeportistas[nombres],MATCH(A26,TablaDeportistas[ID_Deportista],0)),"")</f>
        <v/>
      </c>
      <c r="Z26">
        <f>IF(OR(I26="",J26=""),"",ROUND(I26/((J26/100)^2),2))</f>
        <v/>
      </c>
      <c r="AA26">
        <f>IF(I26="","",ROUND(IF(K26="",0,K26)+IF(L26="",0,L26)+IF(O26="",0,O26)+IF(P26="",0,P26)+IF(Q26="",0,Q26)+IF(R26="",0,R26),1))</f>
        <v/>
      </c>
      <c r="AB26">
        <f>IF(I26="","",ROUND(IF(K26="",0,K26)+IF(L26="",0,L26)+IF(M26="",0,M26)+IF(N26="",0,N26)+IF(O26="",0,O26)+IF(P26="",0,P26)+IF(Q26="",0,Q26)+IF(R26="",0,R26),1))</f>
        <v/>
      </c>
      <c r="AD26">
        <f>IF(A26="","",A26&amp;"-"&amp;TEXT(C26,"yyyymmdd"))</f>
        <v/>
      </c>
    </row>
    <row r="27">
      <c r="B27">
        <f>IFERROR(INDEX(TablaDeportistas[primerApellido],MATCH(A27,TablaDeportistas[ID_Deportista],0))&amp;" "&amp;INDEX(TablaDeportistas[nombres],MATCH(A27,TablaDeportistas[ID_Deportista],0)),"")</f>
        <v/>
      </c>
      <c r="Z27">
        <f>IF(OR(I27="",J27=""),"",ROUND(I27/((J27/100)^2),2))</f>
        <v/>
      </c>
      <c r="AA27">
        <f>IF(I27="","",ROUND(IF(K27="",0,K27)+IF(L27="",0,L27)+IF(O27="",0,O27)+IF(P27="",0,P27)+IF(Q27="",0,Q27)+IF(R27="",0,R27),1))</f>
        <v/>
      </c>
      <c r="AB27">
        <f>IF(I27="","",ROUND(IF(K27="",0,K27)+IF(L27="",0,L27)+IF(M27="",0,M27)+IF(N27="",0,N27)+IF(O27="",0,O27)+IF(P27="",0,P27)+IF(Q27="",0,Q27)+IF(R27="",0,R27),1))</f>
        <v/>
      </c>
      <c r="AD27">
        <f>IF(A27="","",A27&amp;"-"&amp;TEXT(C27,"yyyymmdd"))</f>
        <v/>
      </c>
    </row>
    <row r="28">
      <c r="B28">
        <f>IFERROR(INDEX(TablaDeportistas[primerApellido],MATCH(A28,TablaDeportistas[ID_Deportista],0))&amp;" "&amp;INDEX(TablaDeportistas[nombres],MATCH(A28,TablaDeportistas[ID_Deportista],0)),"")</f>
        <v/>
      </c>
      <c r="Z28">
        <f>IF(OR(I28="",J28=""),"",ROUND(I28/((J28/100)^2),2))</f>
        <v/>
      </c>
      <c r="AA28">
        <f>IF(I28="","",ROUND(IF(K28="",0,K28)+IF(L28="",0,L28)+IF(O28="",0,O28)+IF(P28="",0,P28)+IF(Q28="",0,Q28)+IF(R28="",0,R28),1))</f>
        <v/>
      </c>
      <c r="AB28">
        <f>IF(I28="","",ROUND(IF(K28="",0,K28)+IF(L28="",0,L28)+IF(M28="",0,M28)+IF(N28="",0,N28)+IF(O28="",0,O28)+IF(P28="",0,P28)+IF(Q28="",0,Q28)+IF(R28="",0,R28),1))</f>
        <v/>
      </c>
      <c r="AD28">
        <f>IF(A28="","",A28&amp;"-"&amp;TEXT(C28,"yyyymmdd"))</f>
        <v/>
      </c>
    </row>
    <row r="29">
      <c r="B29">
        <f>IFERROR(INDEX(TablaDeportistas[primerApellido],MATCH(A29,TablaDeportistas[ID_Deportista],0))&amp;" "&amp;INDEX(TablaDeportistas[nombres],MATCH(A29,TablaDeportistas[ID_Deportista],0)),"")</f>
        <v/>
      </c>
      <c r="Z29">
        <f>IF(OR(I29="",J29=""),"",ROUND(I29/((J29/100)^2),2))</f>
        <v/>
      </c>
      <c r="AA29">
        <f>IF(I29="","",ROUND(IF(K29="",0,K29)+IF(L29="",0,L29)+IF(O29="",0,O29)+IF(P29="",0,P29)+IF(Q29="",0,Q29)+IF(R29="",0,R29),1))</f>
        <v/>
      </c>
      <c r="AB29">
        <f>IF(I29="","",ROUND(IF(K29="",0,K29)+IF(L29="",0,L29)+IF(M29="",0,M29)+IF(N29="",0,N29)+IF(O29="",0,O29)+IF(P29="",0,P29)+IF(Q29="",0,Q29)+IF(R29="",0,R29),1))</f>
        <v/>
      </c>
      <c r="AD29">
        <f>IF(A29="","",A29&amp;"-"&amp;TEXT(C29,"yyyymmdd"))</f>
        <v/>
      </c>
    </row>
    <row r="30">
      <c r="B30">
        <f>IFERROR(INDEX(TablaDeportistas[primerApellido],MATCH(A30,TablaDeportistas[ID_Deportista],0))&amp;" "&amp;INDEX(TablaDeportistas[nombres],MATCH(A30,TablaDeportistas[ID_Deportista],0)),"")</f>
        <v/>
      </c>
      <c r="Z30">
        <f>IF(OR(I30="",J30=""),"",ROUND(I30/((J30/100)^2),2))</f>
        <v/>
      </c>
      <c r="AA30">
        <f>IF(I30="","",ROUND(IF(K30="",0,K30)+IF(L30="",0,L30)+IF(O30="",0,O30)+IF(P30="",0,P30)+IF(Q30="",0,Q30)+IF(R30="",0,R30),1))</f>
        <v/>
      </c>
      <c r="AB30">
        <f>IF(I30="","",ROUND(IF(K30="",0,K30)+IF(L30="",0,L30)+IF(M30="",0,M30)+IF(N30="",0,N30)+IF(O30="",0,O30)+IF(P30="",0,P30)+IF(Q30="",0,Q30)+IF(R30="",0,R30),1))</f>
        <v/>
      </c>
      <c r="AD30">
        <f>IF(A30="","",A30&amp;"-"&amp;TEXT(C30,"yyyymmdd"))</f>
        <v/>
      </c>
    </row>
    <row r="31">
      <c r="B31">
        <f>IFERROR(INDEX(TablaDeportistas[primerApellido],MATCH(A31,TablaDeportistas[ID_Deportista],0))&amp;" "&amp;INDEX(TablaDeportistas[nombres],MATCH(A31,TablaDeportistas[ID_Deportista],0)),"")</f>
        <v/>
      </c>
      <c r="Z31">
        <f>IF(OR(I31="",J31=""),"",ROUND(I31/((J31/100)^2),2))</f>
        <v/>
      </c>
      <c r="AA31">
        <f>IF(I31="","",ROUND(IF(K31="",0,K31)+IF(L31="",0,L31)+IF(O31="",0,O31)+IF(P31="",0,P31)+IF(Q31="",0,Q31)+IF(R31="",0,R31),1))</f>
        <v/>
      </c>
      <c r="AB31">
        <f>IF(I31="","",ROUND(IF(K31="",0,K31)+IF(L31="",0,L31)+IF(M31="",0,M31)+IF(N31="",0,N31)+IF(O31="",0,O31)+IF(P31="",0,P31)+IF(Q31="",0,Q31)+IF(R31="",0,R31),1))</f>
        <v/>
      </c>
      <c r="AD31">
        <f>IF(A31="","",A31&amp;"-"&amp;TEXT(C31,"yyyymmdd"))</f>
        <v/>
      </c>
    </row>
    <row r="32">
      <c r="B32">
        <f>IFERROR(INDEX(TablaDeportistas[primerApellido],MATCH(A32,TablaDeportistas[ID_Deportista],0))&amp;" "&amp;INDEX(TablaDeportistas[nombres],MATCH(A32,TablaDeportistas[ID_Deportista],0)),"")</f>
        <v/>
      </c>
      <c r="Z32">
        <f>IF(OR(I32="",J32=""),"",ROUND(I32/((J32/100)^2),2))</f>
        <v/>
      </c>
      <c r="AA32">
        <f>IF(I32="","",ROUND(IF(K32="",0,K32)+IF(L32="",0,L32)+IF(O32="",0,O32)+IF(P32="",0,P32)+IF(Q32="",0,Q32)+IF(R32="",0,R32),1))</f>
        <v/>
      </c>
      <c r="AB32">
        <f>IF(I32="","",ROUND(IF(K32="",0,K32)+IF(L32="",0,L32)+IF(M32="",0,M32)+IF(N32="",0,N32)+IF(O32="",0,O32)+IF(P32="",0,P32)+IF(Q32="",0,Q32)+IF(R32="",0,R32),1))</f>
        <v/>
      </c>
      <c r="AD32">
        <f>IF(A32="","",A32&amp;"-"&amp;TEXT(C32,"yyyymmdd"))</f>
        <v/>
      </c>
    </row>
    <row r="33">
      <c r="B33">
        <f>IFERROR(INDEX(TablaDeportistas[primerApellido],MATCH(A33,TablaDeportistas[ID_Deportista],0))&amp;" "&amp;INDEX(TablaDeportistas[nombres],MATCH(A33,TablaDeportistas[ID_Deportista],0)),"")</f>
        <v/>
      </c>
      <c r="Z33">
        <f>IF(OR(I33="",J33=""),"",ROUND(I33/((J33/100)^2),2))</f>
        <v/>
      </c>
      <c r="AA33">
        <f>IF(I33="","",ROUND(IF(K33="",0,K33)+IF(L33="",0,L33)+IF(O33="",0,O33)+IF(P33="",0,P33)+IF(Q33="",0,Q33)+IF(R33="",0,R33),1))</f>
        <v/>
      </c>
      <c r="AB33">
        <f>IF(I33="","",ROUND(IF(K33="",0,K33)+IF(L33="",0,L33)+IF(M33="",0,M33)+IF(N33="",0,N33)+IF(O33="",0,O33)+IF(P33="",0,P33)+IF(Q33="",0,Q33)+IF(R33="",0,R33),1))</f>
        <v/>
      </c>
      <c r="AD33">
        <f>IF(A33="","",A33&amp;"-"&amp;TEXT(C33,"yyyymmdd"))</f>
        <v/>
      </c>
    </row>
    <row r="34">
      <c r="B34">
        <f>IFERROR(INDEX(TablaDeportistas[primerApellido],MATCH(A34,TablaDeportistas[ID_Deportista],0))&amp;" "&amp;INDEX(TablaDeportistas[nombres],MATCH(A34,TablaDeportistas[ID_Deportista],0)),"")</f>
        <v/>
      </c>
      <c r="Z34">
        <f>IF(OR(I34="",J34=""),"",ROUND(I34/((J34/100)^2),2))</f>
        <v/>
      </c>
      <c r="AA34">
        <f>IF(I34="","",ROUND(IF(K34="",0,K34)+IF(L34="",0,L34)+IF(O34="",0,O34)+IF(P34="",0,P34)+IF(Q34="",0,Q34)+IF(R34="",0,R34),1))</f>
        <v/>
      </c>
      <c r="AB34">
        <f>IF(I34="","",ROUND(IF(K34="",0,K34)+IF(L34="",0,L34)+IF(M34="",0,M34)+IF(N34="",0,N34)+IF(O34="",0,O34)+IF(P34="",0,P34)+IF(Q34="",0,Q34)+IF(R34="",0,R34),1))</f>
        <v/>
      </c>
      <c r="AD34">
        <f>IF(A34="","",A34&amp;"-"&amp;TEXT(C34,"yyyymmdd"))</f>
        <v/>
      </c>
    </row>
    <row r="35">
      <c r="B35">
        <f>IFERROR(INDEX(TablaDeportistas[primerApellido],MATCH(A35,TablaDeportistas[ID_Deportista],0))&amp;" "&amp;INDEX(TablaDeportistas[nombres],MATCH(A35,TablaDeportistas[ID_Deportista],0)),"")</f>
        <v/>
      </c>
      <c r="Z35">
        <f>IF(OR(I35="",J35=""),"",ROUND(I35/((J35/100)^2),2))</f>
        <v/>
      </c>
      <c r="AA35">
        <f>IF(I35="","",ROUND(IF(K35="",0,K35)+IF(L35="",0,L35)+IF(O35="",0,O35)+IF(P35="",0,P35)+IF(Q35="",0,Q35)+IF(R35="",0,R35),1))</f>
        <v/>
      </c>
      <c r="AB35">
        <f>IF(I35="","",ROUND(IF(K35="",0,K35)+IF(L35="",0,L35)+IF(M35="",0,M35)+IF(N35="",0,N35)+IF(O35="",0,O35)+IF(P35="",0,P35)+IF(Q35="",0,Q35)+IF(R35="",0,R35),1))</f>
        <v/>
      </c>
      <c r="AD35">
        <f>IF(A35="","",A35&amp;"-"&amp;TEXT(C35,"yyyymmdd"))</f>
        <v/>
      </c>
    </row>
    <row r="36">
      <c r="B36">
        <f>IFERROR(INDEX(TablaDeportistas[primerApellido],MATCH(A36,TablaDeportistas[ID_Deportista],0))&amp;" "&amp;INDEX(TablaDeportistas[nombres],MATCH(A36,TablaDeportistas[ID_Deportista],0)),"")</f>
        <v/>
      </c>
      <c r="Z36">
        <f>IF(OR(I36="",J36=""),"",ROUND(I36/((J36/100)^2),2))</f>
        <v/>
      </c>
      <c r="AA36">
        <f>IF(I36="","",ROUND(IF(K36="",0,K36)+IF(L36="",0,L36)+IF(O36="",0,O36)+IF(P36="",0,P36)+IF(Q36="",0,Q36)+IF(R36="",0,R36),1))</f>
        <v/>
      </c>
      <c r="AB36">
        <f>IF(I36="","",ROUND(IF(K36="",0,K36)+IF(L36="",0,L36)+IF(M36="",0,M36)+IF(N36="",0,N36)+IF(O36="",0,O36)+IF(P36="",0,P36)+IF(Q36="",0,Q36)+IF(R36="",0,R36),1))</f>
        <v/>
      </c>
      <c r="AD36">
        <f>IF(A36="","",A36&amp;"-"&amp;TEXT(C36,"yyyymmdd"))</f>
        <v/>
      </c>
    </row>
    <row r="37">
      <c r="B37">
        <f>IFERROR(INDEX(TablaDeportistas[primerApellido],MATCH(A37,TablaDeportistas[ID_Deportista],0))&amp;" "&amp;INDEX(TablaDeportistas[nombres],MATCH(A37,TablaDeportistas[ID_Deportista],0)),"")</f>
        <v/>
      </c>
      <c r="Z37">
        <f>IF(OR(I37="",J37=""),"",ROUND(I37/((J37/100)^2),2))</f>
        <v/>
      </c>
      <c r="AA37">
        <f>IF(I37="","",ROUND(IF(K37="",0,K37)+IF(L37="",0,L37)+IF(O37="",0,O37)+IF(P37="",0,P37)+IF(Q37="",0,Q37)+IF(R37="",0,R37),1))</f>
        <v/>
      </c>
      <c r="AB37">
        <f>IF(I37="","",ROUND(IF(K37="",0,K37)+IF(L37="",0,L37)+IF(M37="",0,M37)+IF(N37="",0,N37)+IF(O37="",0,O37)+IF(P37="",0,P37)+IF(Q37="",0,Q37)+IF(R37="",0,R37),1))</f>
        <v/>
      </c>
      <c r="AD37">
        <f>IF(A37="","",A37&amp;"-"&amp;TEXT(C37,"yyyymmdd"))</f>
        <v/>
      </c>
    </row>
    <row r="38">
      <c r="B38">
        <f>IFERROR(INDEX(TablaDeportistas[primerApellido],MATCH(A38,TablaDeportistas[ID_Deportista],0))&amp;" "&amp;INDEX(TablaDeportistas[nombres],MATCH(A38,TablaDeportistas[ID_Deportista],0)),"")</f>
        <v/>
      </c>
      <c r="Z38">
        <f>IF(OR(I38="",J38=""),"",ROUND(I38/((J38/100)^2),2))</f>
        <v/>
      </c>
      <c r="AA38">
        <f>IF(I38="","",ROUND(IF(K38="",0,K38)+IF(L38="",0,L38)+IF(O38="",0,O38)+IF(P38="",0,P38)+IF(Q38="",0,Q38)+IF(R38="",0,R38),1))</f>
        <v/>
      </c>
      <c r="AB38">
        <f>IF(I38="","",ROUND(IF(K38="",0,K38)+IF(L38="",0,L38)+IF(M38="",0,M38)+IF(N38="",0,N38)+IF(O38="",0,O38)+IF(P38="",0,P38)+IF(Q38="",0,Q38)+IF(R38="",0,R38),1))</f>
        <v/>
      </c>
      <c r="AD38">
        <f>IF(A38="","",A38&amp;"-"&amp;TEXT(C38,"yyyymmdd"))</f>
        <v/>
      </c>
    </row>
    <row r="39">
      <c r="B39">
        <f>IFERROR(INDEX(TablaDeportistas[primerApellido],MATCH(A39,TablaDeportistas[ID_Deportista],0))&amp;" "&amp;INDEX(TablaDeportistas[nombres],MATCH(A39,TablaDeportistas[ID_Deportista],0)),"")</f>
        <v/>
      </c>
      <c r="Z39">
        <f>IF(OR(I39="",J39=""),"",ROUND(I39/((J39/100)^2),2))</f>
        <v/>
      </c>
      <c r="AA39">
        <f>IF(I39="","",ROUND(IF(K39="",0,K39)+IF(L39="",0,L39)+IF(O39="",0,O39)+IF(P39="",0,P39)+IF(Q39="",0,Q39)+IF(R39="",0,R39),1))</f>
        <v/>
      </c>
      <c r="AB39">
        <f>IF(I39="","",ROUND(IF(K39="",0,K39)+IF(L39="",0,L39)+IF(M39="",0,M39)+IF(N39="",0,N39)+IF(O39="",0,O39)+IF(P39="",0,P39)+IF(Q39="",0,Q39)+IF(R39="",0,R39),1))</f>
        <v/>
      </c>
      <c r="AD39">
        <f>IF(A39="","",A39&amp;"-"&amp;TEXT(C39,"yyyymmdd"))</f>
        <v/>
      </c>
    </row>
    <row r="40">
      <c r="B40">
        <f>IFERROR(INDEX(TablaDeportistas[primerApellido],MATCH(A40,TablaDeportistas[ID_Deportista],0))&amp;" "&amp;INDEX(TablaDeportistas[nombres],MATCH(A40,TablaDeportistas[ID_Deportista],0)),"")</f>
        <v/>
      </c>
      <c r="Z40">
        <f>IF(OR(I40="",J40=""),"",ROUND(I40/((J40/100)^2),2))</f>
        <v/>
      </c>
      <c r="AA40">
        <f>IF(I40="","",ROUND(IF(K40="",0,K40)+IF(L40="",0,L40)+IF(O40="",0,O40)+IF(P40="",0,P40)+IF(Q40="",0,Q40)+IF(R40="",0,R40),1))</f>
        <v/>
      </c>
      <c r="AB40">
        <f>IF(I40="","",ROUND(IF(K40="",0,K40)+IF(L40="",0,L40)+IF(M40="",0,M40)+IF(N40="",0,N40)+IF(O40="",0,O40)+IF(P40="",0,P40)+IF(Q40="",0,Q40)+IF(R40="",0,R40),1))</f>
        <v/>
      </c>
      <c r="AD40">
        <f>IF(A40="","",A40&amp;"-"&amp;TEXT(C40,"yyyymmdd"))</f>
        <v/>
      </c>
    </row>
    <row r="41">
      <c r="B41">
        <f>IFERROR(INDEX(TablaDeportistas[primerApellido],MATCH(A41,TablaDeportistas[ID_Deportista],0))&amp;" "&amp;INDEX(TablaDeportistas[nombres],MATCH(A41,TablaDeportistas[ID_Deportista],0)),"")</f>
        <v/>
      </c>
      <c r="Z41">
        <f>IF(OR(I41="",J41=""),"",ROUND(I41/((J41/100)^2),2))</f>
        <v/>
      </c>
      <c r="AA41">
        <f>IF(I41="","",ROUND(IF(K41="",0,K41)+IF(L41="",0,L41)+IF(O41="",0,O41)+IF(P41="",0,P41)+IF(Q41="",0,Q41)+IF(R41="",0,R41),1))</f>
        <v/>
      </c>
      <c r="AB41">
        <f>IF(I41="","",ROUND(IF(K41="",0,K41)+IF(L41="",0,L41)+IF(M41="",0,M41)+IF(N41="",0,N41)+IF(O41="",0,O41)+IF(P41="",0,P41)+IF(Q41="",0,Q41)+IF(R41="",0,R41),1))</f>
        <v/>
      </c>
      <c r="AD41">
        <f>IF(A41="","",A41&amp;"-"&amp;TEXT(C41,"yyyymmdd"))</f>
        <v/>
      </c>
    </row>
    <row r="42">
      <c r="B42">
        <f>IFERROR(INDEX(TablaDeportistas[primerApellido],MATCH(A42,TablaDeportistas[ID_Deportista],0))&amp;" "&amp;INDEX(TablaDeportistas[nombres],MATCH(A42,TablaDeportistas[ID_Deportista],0)),"")</f>
        <v/>
      </c>
      <c r="Z42">
        <f>IF(OR(I42="",J42=""),"",ROUND(I42/((J42/100)^2),2))</f>
        <v/>
      </c>
      <c r="AA42">
        <f>IF(I42="","",ROUND(IF(K42="",0,K42)+IF(L42="",0,L42)+IF(O42="",0,O42)+IF(P42="",0,P42)+IF(Q42="",0,Q42)+IF(R42="",0,R42),1))</f>
        <v/>
      </c>
      <c r="AB42">
        <f>IF(I42="","",ROUND(IF(K42="",0,K42)+IF(L42="",0,L42)+IF(M42="",0,M42)+IF(N42="",0,N42)+IF(O42="",0,O42)+IF(P42="",0,P42)+IF(Q42="",0,Q42)+IF(R42="",0,R42),1))</f>
        <v/>
      </c>
      <c r="AD42">
        <f>IF(A42="","",A42&amp;"-"&amp;TEXT(C42,"yyyymmdd"))</f>
        <v/>
      </c>
    </row>
    <row r="43">
      <c r="B43">
        <f>IFERROR(INDEX(TablaDeportistas[primerApellido],MATCH(A43,TablaDeportistas[ID_Deportista],0))&amp;" "&amp;INDEX(TablaDeportistas[nombres],MATCH(A43,TablaDeportistas[ID_Deportista],0)),"")</f>
        <v/>
      </c>
      <c r="Z43">
        <f>IF(OR(I43="",J43=""),"",ROUND(I43/((J43/100)^2),2))</f>
        <v/>
      </c>
      <c r="AA43">
        <f>IF(I43="","",ROUND(IF(K43="",0,K43)+IF(L43="",0,L43)+IF(O43="",0,O43)+IF(P43="",0,P43)+IF(Q43="",0,Q43)+IF(R43="",0,R43),1))</f>
        <v/>
      </c>
      <c r="AB43">
        <f>IF(I43="","",ROUND(IF(K43="",0,K43)+IF(L43="",0,L43)+IF(M43="",0,M43)+IF(N43="",0,N43)+IF(O43="",0,O43)+IF(P43="",0,P43)+IF(Q43="",0,Q43)+IF(R43="",0,R43),1))</f>
        <v/>
      </c>
      <c r="AD43">
        <f>IF(A43="","",A43&amp;"-"&amp;TEXT(C43,"yyyymmdd"))</f>
        <v/>
      </c>
    </row>
    <row r="44">
      <c r="B44">
        <f>IFERROR(INDEX(TablaDeportistas[primerApellido],MATCH(A44,TablaDeportistas[ID_Deportista],0))&amp;" "&amp;INDEX(TablaDeportistas[nombres],MATCH(A44,TablaDeportistas[ID_Deportista],0)),"")</f>
        <v/>
      </c>
      <c r="Z44">
        <f>IF(OR(I44="",J44=""),"",ROUND(I44/((J44/100)^2),2))</f>
        <v/>
      </c>
      <c r="AA44">
        <f>IF(I44="","",ROUND(IF(K44="",0,K44)+IF(L44="",0,L44)+IF(O44="",0,O44)+IF(P44="",0,P44)+IF(Q44="",0,Q44)+IF(R44="",0,R44),1))</f>
        <v/>
      </c>
      <c r="AB44">
        <f>IF(I44="","",ROUND(IF(K44="",0,K44)+IF(L44="",0,L44)+IF(M44="",0,M44)+IF(N44="",0,N44)+IF(O44="",0,O44)+IF(P44="",0,P44)+IF(Q44="",0,Q44)+IF(R44="",0,R44),1))</f>
        <v/>
      </c>
      <c r="AD44">
        <f>IF(A44="","",A44&amp;"-"&amp;TEXT(C44,"yyyymmdd"))</f>
        <v/>
      </c>
    </row>
    <row r="45">
      <c r="B45">
        <f>IFERROR(INDEX(TablaDeportistas[primerApellido],MATCH(A45,TablaDeportistas[ID_Deportista],0))&amp;" "&amp;INDEX(TablaDeportistas[nombres],MATCH(A45,TablaDeportistas[ID_Deportista],0)),"")</f>
        <v/>
      </c>
      <c r="Z45">
        <f>IF(OR(I45="",J45=""),"",ROUND(I45/((J45/100)^2),2))</f>
        <v/>
      </c>
      <c r="AA45">
        <f>IF(I45="","",ROUND(IF(K45="",0,K45)+IF(L45="",0,L45)+IF(O45="",0,O45)+IF(P45="",0,P45)+IF(Q45="",0,Q45)+IF(R45="",0,R45),1))</f>
        <v/>
      </c>
      <c r="AB45">
        <f>IF(I45="","",ROUND(IF(K45="",0,K45)+IF(L45="",0,L45)+IF(M45="",0,M45)+IF(N45="",0,N45)+IF(O45="",0,O45)+IF(P45="",0,P45)+IF(Q45="",0,Q45)+IF(R45="",0,R45),1))</f>
        <v/>
      </c>
      <c r="AD45">
        <f>IF(A45="","",A45&amp;"-"&amp;TEXT(C45,"yyyymmdd"))</f>
        <v/>
      </c>
    </row>
    <row r="46">
      <c r="B46">
        <f>IFERROR(INDEX(TablaDeportistas[primerApellido],MATCH(A46,TablaDeportistas[ID_Deportista],0))&amp;" "&amp;INDEX(TablaDeportistas[nombres],MATCH(A46,TablaDeportistas[ID_Deportista],0)),"")</f>
        <v/>
      </c>
      <c r="Z46">
        <f>IF(OR(I46="",J46=""),"",ROUND(I46/((J46/100)^2),2))</f>
        <v/>
      </c>
      <c r="AA46">
        <f>IF(I46="","",ROUND(IF(K46="",0,K46)+IF(L46="",0,L46)+IF(O46="",0,O46)+IF(P46="",0,P46)+IF(Q46="",0,Q46)+IF(R46="",0,R46),1))</f>
        <v/>
      </c>
      <c r="AB46">
        <f>IF(I46="","",ROUND(IF(K46="",0,K46)+IF(L46="",0,L46)+IF(M46="",0,M46)+IF(N46="",0,N46)+IF(O46="",0,O46)+IF(P46="",0,P46)+IF(Q46="",0,Q46)+IF(R46="",0,R46),1))</f>
        <v/>
      </c>
      <c r="AD46">
        <f>IF(A46="","",A46&amp;"-"&amp;TEXT(C46,"yyyymmdd"))</f>
        <v/>
      </c>
    </row>
    <row r="47">
      <c r="B47">
        <f>IFERROR(INDEX(TablaDeportistas[primerApellido],MATCH(A47,TablaDeportistas[ID_Deportista],0))&amp;" "&amp;INDEX(TablaDeportistas[nombres],MATCH(A47,TablaDeportistas[ID_Deportista],0)),"")</f>
        <v/>
      </c>
      <c r="Z47">
        <f>IF(OR(I47="",J47=""),"",ROUND(I47/((J47/100)^2),2))</f>
        <v/>
      </c>
      <c r="AA47">
        <f>IF(I47="","",ROUND(IF(K47="",0,K47)+IF(L47="",0,L47)+IF(O47="",0,O47)+IF(P47="",0,P47)+IF(Q47="",0,Q47)+IF(R47="",0,R47),1))</f>
        <v/>
      </c>
      <c r="AB47">
        <f>IF(I47="","",ROUND(IF(K47="",0,K47)+IF(L47="",0,L47)+IF(M47="",0,M47)+IF(N47="",0,N47)+IF(O47="",0,O47)+IF(P47="",0,P47)+IF(Q47="",0,Q47)+IF(R47="",0,R47),1))</f>
        <v/>
      </c>
      <c r="AD47">
        <f>IF(A47="","",A47&amp;"-"&amp;TEXT(C47,"yyyymmdd"))</f>
        <v/>
      </c>
    </row>
    <row r="48">
      <c r="B48">
        <f>IFERROR(INDEX(TablaDeportistas[primerApellido],MATCH(A48,TablaDeportistas[ID_Deportista],0))&amp;" "&amp;INDEX(TablaDeportistas[nombres],MATCH(A48,TablaDeportistas[ID_Deportista],0)),"")</f>
        <v/>
      </c>
      <c r="Z48">
        <f>IF(OR(I48="",J48=""),"",ROUND(I48/((J48/100)^2),2))</f>
        <v/>
      </c>
      <c r="AA48">
        <f>IF(I48="","",ROUND(IF(K48="",0,K48)+IF(L48="",0,L48)+IF(O48="",0,O48)+IF(P48="",0,P48)+IF(Q48="",0,Q48)+IF(R48="",0,R48),1))</f>
        <v/>
      </c>
      <c r="AB48">
        <f>IF(I48="","",ROUND(IF(K48="",0,K48)+IF(L48="",0,L48)+IF(M48="",0,M48)+IF(N48="",0,N48)+IF(O48="",0,O48)+IF(P48="",0,P48)+IF(Q48="",0,Q48)+IF(R48="",0,R48),1))</f>
        <v/>
      </c>
      <c r="AD48">
        <f>IF(A48="","",A48&amp;"-"&amp;TEXT(C48,"yyyymmdd"))</f>
        <v/>
      </c>
    </row>
    <row r="49">
      <c r="B49">
        <f>IFERROR(INDEX(TablaDeportistas[primerApellido],MATCH(A49,TablaDeportistas[ID_Deportista],0))&amp;" "&amp;INDEX(TablaDeportistas[nombres],MATCH(A49,TablaDeportistas[ID_Deportista],0)),"")</f>
        <v/>
      </c>
      <c r="Z49">
        <f>IF(OR(I49="",J49=""),"",ROUND(I49/((J49/100)^2),2))</f>
        <v/>
      </c>
      <c r="AA49">
        <f>IF(I49="","",ROUND(IF(K49="",0,K49)+IF(L49="",0,L49)+IF(O49="",0,O49)+IF(P49="",0,P49)+IF(Q49="",0,Q49)+IF(R49="",0,R49),1))</f>
        <v/>
      </c>
      <c r="AB49">
        <f>IF(I49="","",ROUND(IF(K49="",0,K49)+IF(L49="",0,L49)+IF(M49="",0,M49)+IF(N49="",0,N49)+IF(O49="",0,O49)+IF(P49="",0,P49)+IF(Q49="",0,Q49)+IF(R49="",0,R49),1))</f>
        <v/>
      </c>
      <c r="AD49">
        <f>IF(A49="","",A49&amp;"-"&amp;TEXT(C49,"yyyymmdd"))</f>
        <v/>
      </c>
    </row>
    <row r="50">
      <c r="B50">
        <f>IFERROR(INDEX(TablaDeportistas[primerApellido],MATCH(A50,TablaDeportistas[ID_Deportista],0))&amp;" "&amp;INDEX(TablaDeportistas[nombres],MATCH(A50,TablaDeportistas[ID_Deportista],0)),"")</f>
        <v/>
      </c>
      <c r="Z50">
        <f>IF(OR(I50="",J50=""),"",ROUND(I50/((J50/100)^2),2))</f>
        <v/>
      </c>
      <c r="AA50">
        <f>IF(I50="","",ROUND(IF(K50="",0,K50)+IF(L50="",0,L50)+IF(O50="",0,O50)+IF(P50="",0,P50)+IF(Q50="",0,Q50)+IF(R50="",0,R50),1))</f>
        <v/>
      </c>
      <c r="AB50">
        <f>IF(I50="","",ROUND(IF(K50="",0,K50)+IF(L50="",0,L50)+IF(M50="",0,M50)+IF(N50="",0,N50)+IF(O50="",0,O50)+IF(P50="",0,P50)+IF(Q50="",0,Q50)+IF(R50="",0,R50),1))</f>
        <v/>
      </c>
      <c r="AD50">
        <f>IF(A50="","",A50&amp;"-"&amp;TEXT(C50,"yyyymmdd"))</f>
        <v/>
      </c>
    </row>
    <row r="51">
      <c r="B51">
        <f>IFERROR(INDEX(TablaDeportistas[primerApellido],MATCH(A51,TablaDeportistas[ID_Deportista],0))&amp;" "&amp;INDEX(TablaDeportistas[nombres],MATCH(A51,TablaDeportistas[ID_Deportista],0)),"")</f>
        <v/>
      </c>
      <c r="Z51">
        <f>IF(OR(I51="",J51=""),"",ROUND(I51/((J51/100)^2),2))</f>
        <v/>
      </c>
      <c r="AA51">
        <f>IF(I51="","",ROUND(IF(K51="",0,K51)+IF(L51="",0,L51)+IF(O51="",0,O51)+IF(P51="",0,P51)+IF(Q51="",0,Q51)+IF(R51="",0,R51),1))</f>
        <v/>
      </c>
      <c r="AB51">
        <f>IF(I51="","",ROUND(IF(K51="",0,K51)+IF(L51="",0,L51)+IF(M51="",0,M51)+IF(N51="",0,N51)+IF(O51="",0,O51)+IF(P51="",0,P51)+IF(Q51="",0,Q51)+IF(R51="",0,R51),1))</f>
        <v/>
      </c>
      <c r="AD51">
        <f>IF(A51="","",A51&amp;"-"&amp;TEXT(C51,"yyyymmdd"))</f>
        <v/>
      </c>
    </row>
    <row r="52">
      <c r="B52">
        <f>IFERROR(INDEX(TablaDeportistas[primerApellido],MATCH(A52,TablaDeportistas[ID_Deportista],0))&amp;" "&amp;INDEX(TablaDeportistas[nombres],MATCH(A52,TablaDeportistas[ID_Deportista],0)),"")</f>
        <v/>
      </c>
      <c r="Z52">
        <f>IF(OR(I52="",J52=""),"",ROUND(I52/((J52/100)^2),2))</f>
        <v/>
      </c>
      <c r="AA52">
        <f>IF(I52="","",ROUND(IF(K52="",0,K52)+IF(L52="",0,L52)+IF(O52="",0,O52)+IF(P52="",0,P52)+IF(Q52="",0,Q52)+IF(R52="",0,R52),1))</f>
        <v/>
      </c>
      <c r="AB52">
        <f>IF(I52="","",ROUND(IF(K52="",0,K52)+IF(L52="",0,L52)+IF(M52="",0,M52)+IF(N52="",0,N52)+IF(O52="",0,O52)+IF(P52="",0,P52)+IF(Q52="",0,Q52)+IF(R52="",0,R52),1))</f>
        <v/>
      </c>
      <c r="AD52">
        <f>IF(A52="","",A52&amp;"-"&amp;TEXT(C52,"yyyymmdd"))</f>
        <v/>
      </c>
    </row>
    <row r="53">
      <c r="B53">
        <f>IFERROR(INDEX(TablaDeportistas[primerApellido],MATCH(A53,TablaDeportistas[ID_Deportista],0))&amp;" "&amp;INDEX(TablaDeportistas[nombres],MATCH(A53,TablaDeportistas[ID_Deportista],0)),"")</f>
        <v/>
      </c>
      <c r="Z53">
        <f>IF(OR(I53="",J53=""),"",ROUND(I53/((J53/100)^2),2))</f>
        <v/>
      </c>
      <c r="AA53">
        <f>IF(I53="","",ROUND(IF(K53="",0,K53)+IF(L53="",0,L53)+IF(O53="",0,O53)+IF(P53="",0,P53)+IF(Q53="",0,Q53)+IF(R53="",0,R53),1))</f>
        <v/>
      </c>
      <c r="AB53">
        <f>IF(I53="","",ROUND(IF(K53="",0,K53)+IF(L53="",0,L53)+IF(M53="",0,M53)+IF(N53="",0,N53)+IF(O53="",0,O53)+IF(P53="",0,P53)+IF(Q53="",0,Q53)+IF(R53="",0,R53),1))</f>
        <v/>
      </c>
      <c r="AD53">
        <f>IF(A53="","",A53&amp;"-"&amp;TEXT(C53,"yyyymmdd"))</f>
        <v/>
      </c>
    </row>
    <row r="54">
      <c r="B54">
        <f>IFERROR(INDEX(TablaDeportistas[primerApellido],MATCH(A54,TablaDeportistas[ID_Deportista],0))&amp;" "&amp;INDEX(TablaDeportistas[nombres],MATCH(A54,TablaDeportistas[ID_Deportista],0)),"")</f>
        <v/>
      </c>
      <c r="Z54">
        <f>IF(OR(I54="",J54=""),"",ROUND(I54/((J54/100)^2),2))</f>
        <v/>
      </c>
      <c r="AA54">
        <f>IF(I54="","",ROUND(IF(K54="",0,K54)+IF(L54="",0,L54)+IF(O54="",0,O54)+IF(P54="",0,P54)+IF(Q54="",0,Q54)+IF(R54="",0,R54),1))</f>
        <v/>
      </c>
      <c r="AB54">
        <f>IF(I54="","",ROUND(IF(K54="",0,K54)+IF(L54="",0,L54)+IF(M54="",0,M54)+IF(N54="",0,N54)+IF(O54="",0,O54)+IF(P54="",0,P54)+IF(Q54="",0,Q54)+IF(R54="",0,R54),1))</f>
        <v/>
      </c>
      <c r="AD54">
        <f>IF(A54="","",A54&amp;"-"&amp;TEXT(C54,"yyyymmdd"))</f>
        <v/>
      </c>
    </row>
    <row r="55">
      <c r="B55">
        <f>IFERROR(INDEX(TablaDeportistas[primerApellido],MATCH(A55,TablaDeportistas[ID_Deportista],0))&amp;" "&amp;INDEX(TablaDeportistas[nombres],MATCH(A55,TablaDeportistas[ID_Deportista],0)),"")</f>
        <v/>
      </c>
      <c r="Z55">
        <f>IF(OR(I55="",J55=""),"",ROUND(I55/((J55/100)^2),2))</f>
        <v/>
      </c>
      <c r="AA55">
        <f>IF(I55="","",ROUND(IF(K55="",0,K55)+IF(L55="",0,L55)+IF(O55="",0,O55)+IF(P55="",0,P55)+IF(Q55="",0,Q55)+IF(R55="",0,R55),1))</f>
        <v/>
      </c>
      <c r="AB55">
        <f>IF(I55="","",ROUND(IF(K55="",0,K55)+IF(L55="",0,L55)+IF(M55="",0,M55)+IF(N55="",0,N55)+IF(O55="",0,O55)+IF(P55="",0,P55)+IF(Q55="",0,Q55)+IF(R55="",0,R55),1))</f>
        <v/>
      </c>
      <c r="AD55">
        <f>IF(A55="","",A55&amp;"-"&amp;TEXT(C55,"yyyymmdd"))</f>
        <v/>
      </c>
    </row>
    <row r="56">
      <c r="B56">
        <f>IFERROR(INDEX(TablaDeportistas[primerApellido],MATCH(A56,TablaDeportistas[ID_Deportista],0))&amp;" "&amp;INDEX(TablaDeportistas[nombres],MATCH(A56,TablaDeportistas[ID_Deportista],0)),"")</f>
        <v/>
      </c>
      <c r="Z56">
        <f>IF(OR(I56="",J56=""),"",ROUND(I56/((J56/100)^2),2))</f>
        <v/>
      </c>
      <c r="AA56">
        <f>IF(I56="","",ROUND(IF(K56="",0,K56)+IF(L56="",0,L56)+IF(O56="",0,O56)+IF(P56="",0,P56)+IF(Q56="",0,Q56)+IF(R56="",0,R56),1))</f>
        <v/>
      </c>
      <c r="AB56">
        <f>IF(I56="","",ROUND(IF(K56="",0,K56)+IF(L56="",0,L56)+IF(M56="",0,M56)+IF(N56="",0,N56)+IF(O56="",0,O56)+IF(P56="",0,P56)+IF(Q56="",0,Q56)+IF(R56="",0,R56),1))</f>
        <v/>
      </c>
      <c r="AD56">
        <f>IF(A56="","",A56&amp;"-"&amp;TEXT(C56,"yyyymmdd"))</f>
        <v/>
      </c>
    </row>
    <row r="57">
      <c r="B57">
        <f>IFERROR(INDEX(TablaDeportistas[primerApellido],MATCH(A57,TablaDeportistas[ID_Deportista],0))&amp;" "&amp;INDEX(TablaDeportistas[nombres],MATCH(A57,TablaDeportistas[ID_Deportista],0)),"")</f>
        <v/>
      </c>
      <c r="Z57">
        <f>IF(OR(I57="",J57=""),"",ROUND(I57/((J57/100)^2),2))</f>
        <v/>
      </c>
      <c r="AA57">
        <f>IF(I57="","",ROUND(IF(K57="",0,K57)+IF(L57="",0,L57)+IF(O57="",0,O57)+IF(P57="",0,P57)+IF(Q57="",0,Q57)+IF(R57="",0,R57),1))</f>
        <v/>
      </c>
      <c r="AB57">
        <f>IF(I57="","",ROUND(IF(K57="",0,K57)+IF(L57="",0,L57)+IF(M57="",0,M57)+IF(N57="",0,N57)+IF(O57="",0,O57)+IF(P57="",0,P57)+IF(Q57="",0,Q57)+IF(R57="",0,R57),1))</f>
        <v/>
      </c>
      <c r="AD57">
        <f>IF(A57="","",A57&amp;"-"&amp;TEXT(C57,"yyyymmdd"))</f>
        <v/>
      </c>
    </row>
    <row r="58">
      <c r="B58">
        <f>IFERROR(INDEX(TablaDeportistas[primerApellido],MATCH(A58,TablaDeportistas[ID_Deportista],0))&amp;" "&amp;INDEX(TablaDeportistas[nombres],MATCH(A58,TablaDeportistas[ID_Deportista],0)),"")</f>
        <v/>
      </c>
      <c r="Z58">
        <f>IF(OR(I58="",J58=""),"",ROUND(I58/((J58/100)^2),2))</f>
        <v/>
      </c>
      <c r="AA58">
        <f>IF(I58="","",ROUND(IF(K58="",0,K58)+IF(L58="",0,L58)+IF(O58="",0,O58)+IF(P58="",0,P58)+IF(Q58="",0,Q58)+IF(R58="",0,R58),1))</f>
        <v/>
      </c>
      <c r="AB58">
        <f>IF(I58="","",ROUND(IF(K58="",0,K58)+IF(L58="",0,L58)+IF(M58="",0,M58)+IF(N58="",0,N58)+IF(O58="",0,O58)+IF(P58="",0,P58)+IF(Q58="",0,Q58)+IF(R58="",0,R58),1))</f>
        <v/>
      </c>
      <c r="AD58">
        <f>IF(A58="","",A58&amp;"-"&amp;TEXT(C58,"yyyymmdd"))</f>
        <v/>
      </c>
    </row>
    <row r="59">
      <c r="B59">
        <f>IFERROR(INDEX(TablaDeportistas[primerApellido],MATCH(A59,TablaDeportistas[ID_Deportista],0))&amp;" "&amp;INDEX(TablaDeportistas[nombres],MATCH(A59,TablaDeportistas[ID_Deportista],0)),"")</f>
        <v/>
      </c>
      <c r="Z59">
        <f>IF(OR(I59="",J59=""),"",ROUND(I59/((J59/100)^2),2))</f>
        <v/>
      </c>
      <c r="AA59">
        <f>IF(I59="","",ROUND(IF(K59="",0,K59)+IF(L59="",0,L59)+IF(O59="",0,O59)+IF(P59="",0,P59)+IF(Q59="",0,Q59)+IF(R59="",0,R59),1))</f>
        <v/>
      </c>
      <c r="AB59">
        <f>IF(I59="","",ROUND(IF(K59="",0,K59)+IF(L59="",0,L59)+IF(M59="",0,M59)+IF(N59="",0,N59)+IF(O59="",0,O59)+IF(P59="",0,P59)+IF(Q59="",0,Q59)+IF(R59="",0,R59),1))</f>
        <v/>
      </c>
      <c r="AD59">
        <f>IF(A59="","",A59&amp;"-"&amp;TEXT(C59,"yyyymmdd"))</f>
        <v/>
      </c>
    </row>
    <row r="60">
      <c r="B60">
        <f>IFERROR(INDEX(TablaDeportistas[primerApellido],MATCH(A60,TablaDeportistas[ID_Deportista],0))&amp;" "&amp;INDEX(TablaDeportistas[nombres],MATCH(A60,TablaDeportistas[ID_Deportista],0)),"")</f>
        <v/>
      </c>
      <c r="Z60">
        <f>IF(OR(I60="",J60=""),"",ROUND(I60/((J60/100)^2),2))</f>
        <v/>
      </c>
      <c r="AA60">
        <f>IF(I60="","",ROUND(IF(K60="",0,K60)+IF(L60="",0,L60)+IF(O60="",0,O60)+IF(P60="",0,P60)+IF(Q60="",0,Q60)+IF(R60="",0,R60),1))</f>
        <v/>
      </c>
      <c r="AB60">
        <f>IF(I60="","",ROUND(IF(K60="",0,K60)+IF(L60="",0,L60)+IF(M60="",0,M60)+IF(N60="",0,N60)+IF(O60="",0,O60)+IF(P60="",0,P60)+IF(Q60="",0,Q60)+IF(R60="",0,R60),1))</f>
        <v/>
      </c>
      <c r="AD60">
        <f>IF(A60="","",A60&amp;"-"&amp;TEXT(C60,"yyyymmdd"))</f>
        <v/>
      </c>
    </row>
    <row r="61">
      <c r="B61">
        <f>IFERROR(INDEX(TablaDeportistas[primerApellido],MATCH(A61,TablaDeportistas[ID_Deportista],0))&amp;" "&amp;INDEX(TablaDeportistas[nombres],MATCH(A61,TablaDeportistas[ID_Deportista],0)),"")</f>
        <v/>
      </c>
      <c r="Z61">
        <f>IF(OR(I61="",J61=""),"",ROUND(I61/((J61/100)^2),2))</f>
        <v/>
      </c>
      <c r="AA61">
        <f>IF(I61="","",ROUND(IF(K61="",0,K61)+IF(L61="",0,L61)+IF(O61="",0,O61)+IF(P61="",0,P61)+IF(Q61="",0,Q61)+IF(R61="",0,R61),1))</f>
        <v/>
      </c>
      <c r="AB61">
        <f>IF(I61="","",ROUND(IF(K61="",0,K61)+IF(L61="",0,L61)+IF(M61="",0,M61)+IF(N61="",0,N61)+IF(O61="",0,O61)+IF(P61="",0,P61)+IF(Q61="",0,Q61)+IF(R61="",0,R61),1))</f>
        <v/>
      </c>
      <c r="AD61">
        <f>IF(A61="","",A61&amp;"-"&amp;TEXT(C61,"yyyymmdd"))</f>
        <v/>
      </c>
    </row>
    <row r="62">
      <c r="B62">
        <f>IFERROR(INDEX(TablaDeportistas[primerApellido],MATCH(A62,TablaDeportistas[ID_Deportista],0))&amp;" "&amp;INDEX(TablaDeportistas[nombres],MATCH(A62,TablaDeportistas[ID_Deportista],0)),"")</f>
        <v/>
      </c>
      <c r="Z62">
        <f>IF(OR(I62="",J62=""),"",ROUND(I62/((J62/100)^2),2))</f>
        <v/>
      </c>
      <c r="AA62">
        <f>IF(I62="","",ROUND(IF(K62="",0,K62)+IF(L62="",0,L62)+IF(O62="",0,O62)+IF(P62="",0,P62)+IF(Q62="",0,Q62)+IF(R62="",0,R62),1))</f>
        <v/>
      </c>
      <c r="AB62">
        <f>IF(I62="","",ROUND(IF(K62="",0,K62)+IF(L62="",0,L62)+IF(M62="",0,M62)+IF(N62="",0,N62)+IF(O62="",0,O62)+IF(P62="",0,P62)+IF(Q62="",0,Q62)+IF(R62="",0,R62),1))</f>
        <v/>
      </c>
      <c r="AD62">
        <f>IF(A62="","",A62&amp;"-"&amp;TEXT(C62,"yyyymmdd"))</f>
        <v/>
      </c>
    </row>
    <row r="63">
      <c r="B63">
        <f>IFERROR(INDEX(TablaDeportistas[primerApellido],MATCH(A63,TablaDeportistas[ID_Deportista],0))&amp;" "&amp;INDEX(TablaDeportistas[nombres],MATCH(A63,TablaDeportistas[ID_Deportista],0)),"")</f>
        <v/>
      </c>
      <c r="Z63">
        <f>IF(OR(I63="",J63=""),"",ROUND(I63/((J63/100)^2),2))</f>
        <v/>
      </c>
      <c r="AA63">
        <f>IF(I63="","",ROUND(IF(K63="",0,K63)+IF(L63="",0,L63)+IF(O63="",0,O63)+IF(P63="",0,P63)+IF(Q63="",0,Q63)+IF(R63="",0,R63),1))</f>
        <v/>
      </c>
      <c r="AB63">
        <f>IF(I63="","",ROUND(IF(K63="",0,K63)+IF(L63="",0,L63)+IF(M63="",0,M63)+IF(N63="",0,N63)+IF(O63="",0,O63)+IF(P63="",0,P63)+IF(Q63="",0,Q63)+IF(R63="",0,R63),1))</f>
        <v/>
      </c>
      <c r="AD63">
        <f>IF(A63="","",A63&amp;"-"&amp;TEXT(C63,"yyyymmdd"))</f>
        <v/>
      </c>
    </row>
    <row r="64">
      <c r="B64">
        <f>IFERROR(INDEX(TablaDeportistas[primerApellido],MATCH(A64,TablaDeportistas[ID_Deportista],0))&amp;" "&amp;INDEX(TablaDeportistas[nombres],MATCH(A64,TablaDeportistas[ID_Deportista],0)),"")</f>
        <v/>
      </c>
      <c r="Z64">
        <f>IF(OR(I64="",J64=""),"",ROUND(I64/((J64/100)^2),2))</f>
        <v/>
      </c>
      <c r="AA64">
        <f>IF(I64="","",ROUND(IF(K64="",0,K64)+IF(L64="",0,L64)+IF(O64="",0,O64)+IF(P64="",0,P64)+IF(Q64="",0,Q64)+IF(R64="",0,R64),1))</f>
        <v/>
      </c>
      <c r="AB64">
        <f>IF(I64="","",ROUND(IF(K64="",0,K64)+IF(L64="",0,L64)+IF(M64="",0,M64)+IF(N64="",0,N64)+IF(O64="",0,O64)+IF(P64="",0,P64)+IF(Q64="",0,Q64)+IF(R64="",0,R64),1))</f>
        <v/>
      </c>
      <c r="AD64">
        <f>IF(A64="","",A64&amp;"-"&amp;TEXT(C64,"yyyymmdd"))</f>
        <v/>
      </c>
    </row>
    <row r="65">
      <c r="B65">
        <f>IFERROR(INDEX(TablaDeportistas[primerApellido],MATCH(A65,TablaDeportistas[ID_Deportista],0))&amp;" "&amp;INDEX(TablaDeportistas[nombres],MATCH(A65,TablaDeportistas[ID_Deportista],0)),"")</f>
        <v/>
      </c>
      <c r="Z65">
        <f>IF(OR(I65="",J65=""),"",ROUND(I65/((J65/100)^2),2))</f>
        <v/>
      </c>
      <c r="AA65">
        <f>IF(I65="","",ROUND(IF(K65="",0,K65)+IF(L65="",0,L65)+IF(O65="",0,O65)+IF(P65="",0,P65)+IF(Q65="",0,Q65)+IF(R65="",0,R65),1))</f>
        <v/>
      </c>
      <c r="AB65">
        <f>IF(I65="","",ROUND(IF(K65="",0,K65)+IF(L65="",0,L65)+IF(M65="",0,M65)+IF(N65="",0,N65)+IF(O65="",0,O65)+IF(P65="",0,P65)+IF(Q65="",0,Q65)+IF(R65="",0,R65),1))</f>
        <v/>
      </c>
      <c r="AD65">
        <f>IF(A65="","",A65&amp;"-"&amp;TEXT(C65,"yyyymmdd"))</f>
        <v/>
      </c>
    </row>
    <row r="66">
      <c r="B66">
        <f>IFERROR(INDEX(TablaDeportistas[primerApellido],MATCH(A66,TablaDeportistas[ID_Deportista],0))&amp;" "&amp;INDEX(TablaDeportistas[nombres],MATCH(A66,TablaDeportistas[ID_Deportista],0)),"")</f>
        <v/>
      </c>
      <c r="Z66">
        <f>IF(OR(I66="",J66=""),"",ROUND(I66/((J66/100)^2),2))</f>
        <v/>
      </c>
      <c r="AA66">
        <f>IF(I66="","",ROUND(IF(K66="",0,K66)+IF(L66="",0,L66)+IF(O66="",0,O66)+IF(P66="",0,P66)+IF(Q66="",0,Q66)+IF(R66="",0,R66),1))</f>
        <v/>
      </c>
      <c r="AB66">
        <f>IF(I66="","",ROUND(IF(K66="",0,K66)+IF(L66="",0,L66)+IF(M66="",0,M66)+IF(N66="",0,N66)+IF(O66="",0,O66)+IF(P66="",0,P66)+IF(Q66="",0,Q66)+IF(R66="",0,R66),1))</f>
        <v/>
      </c>
      <c r="AD66">
        <f>IF(A66="","",A66&amp;"-"&amp;TEXT(C66,"yyyymmdd"))</f>
        <v/>
      </c>
    </row>
    <row r="67">
      <c r="B67">
        <f>IFERROR(INDEX(TablaDeportistas[primerApellido],MATCH(A67,TablaDeportistas[ID_Deportista],0))&amp;" "&amp;INDEX(TablaDeportistas[nombres],MATCH(A67,TablaDeportistas[ID_Deportista],0)),"")</f>
        <v/>
      </c>
      <c r="Z67">
        <f>IF(OR(I67="",J67=""),"",ROUND(I67/((J67/100)^2),2))</f>
        <v/>
      </c>
      <c r="AA67">
        <f>IF(I67="","",ROUND(IF(K67="",0,K67)+IF(L67="",0,L67)+IF(O67="",0,O67)+IF(P67="",0,P67)+IF(Q67="",0,Q67)+IF(R67="",0,R67),1))</f>
        <v/>
      </c>
      <c r="AB67">
        <f>IF(I67="","",ROUND(IF(K67="",0,K67)+IF(L67="",0,L67)+IF(M67="",0,M67)+IF(N67="",0,N67)+IF(O67="",0,O67)+IF(P67="",0,P67)+IF(Q67="",0,Q67)+IF(R67="",0,R67),1))</f>
        <v/>
      </c>
      <c r="AD67">
        <f>IF(A67="","",A67&amp;"-"&amp;TEXT(C67,"yyyymmdd"))</f>
        <v/>
      </c>
    </row>
    <row r="68">
      <c r="B68">
        <f>IFERROR(INDEX(TablaDeportistas[primerApellido],MATCH(A68,TablaDeportistas[ID_Deportista],0))&amp;" "&amp;INDEX(TablaDeportistas[nombres],MATCH(A68,TablaDeportistas[ID_Deportista],0)),"")</f>
        <v/>
      </c>
      <c r="Z68">
        <f>IF(OR(I68="",J68=""),"",ROUND(I68/((J68/100)^2),2))</f>
        <v/>
      </c>
      <c r="AA68">
        <f>IF(I68="","",ROUND(IF(K68="",0,K68)+IF(L68="",0,L68)+IF(O68="",0,O68)+IF(P68="",0,P68)+IF(Q68="",0,Q68)+IF(R68="",0,R68),1))</f>
        <v/>
      </c>
      <c r="AB68">
        <f>IF(I68="","",ROUND(IF(K68="",0,K68)+IF(L68="",0,L68)+IF(M68="",0,M68)+IF(N68="",0,N68)+IF(O68="",0,O68)+IF(P68="",0,P68)+IF(Q68="",0,Q68)+IF(R68="",0,R68),1))</f>
        <v/>
      </c>
      <c r="AD68">
        <f>IF(A68="","",A68&amp;"-"&amp;TEXT(C68,"yyyymmdd"))</f>
        <v/>
      </c>
    </row>
    <row r="69">
      <c r="B69">
        <f>IFERROR(INDEX(TablaDeportistas[primerApellido],MATCH(A69,TablaDeportistas[ID_Deportista],0))&amp;" "&amp;INDEX(TablaDeportistas[nombres],MATCH(A69,TablaDeportistas[ID_Deportista],0)),"")</f>
        <v/>
      </c>
      <c r="Z69">
        <f>IF(OR(I69="",J69=""),"",ROUND(I69/((J69/100)^2),2))</f>
        <v/>
      </c>
      <c r="AA69">
        <f>IF(I69="","",ROUND(IF(K69="",0,K69)+IF(L69="",0,L69)+IF(O69="",0,O69)+IF(P69="",0,P69)+IF(Q69="",0,Q69)+IF(R69="",0,R69),1))</f>
        <v/>
      </c>
      <c r="AB69">
        <f>IF(I69="","",ROUND(IF(K69="",0,K69)+IF(L69="",0,L69)+IF(M69="",0,M69)+IF(N69="",0,N69)+IF(O69="",0,O69)+IF(P69="",0,P69)+IF(Q69="",0,Q69)+IF(R69="",0,R69),1))</f>
        <v/>
      </c>
      <c r="AD69">
        <f>IF(A69="","",A69&amp;"-"&amp;TEXT(C69,"yyyymmdd"))</f>
        <v/>
      </c>
    </row>
    <row r="70">
      <c r="B70">
        <f>IFERROR(INDEX(TablaDeportistas[primerApellido],MATCH(A70,TablaDeportistas[ID_Deportista],0))&amp;" "&amp;INDEX(TablaDeportistas[nombres],MATCH(A70,TablaDeportistas[ID_Deportista],0)),"")</f>
        <v/>
      </c>
      <c r="Z70">
        <f>IF(OR(I70="",J70=""),"",ROUND(I70/((J70/100)^2),2))</f>
        <v/>
      </c>
      <c r="AA70">
        <f>IF(I70="","",ROUND(IF(K70="",0,K70)+IF(L70="",0,L70)+IF(O70="",0,O70)+IF(P70="",0,P70)+IF(Q70="",0,Q70)+IF(R70="",0,R70),1))</f>
        <v/>
      </c>
      <c r="AB70">
        <f>IF(I70="","",ROUND(IF(K70="",0,K70)+IF(L70="",0,L70)+IF(M70="",0,M70)+IF(N70="",0,N70)+IF(O70="",0,O70)+IF(P70="",0,P70)+IF(Q70="",0,Q70)+IF(R70="",0,R70),1))</f>
        <v/>
      </c>
      <c r="AD70">
        <f>IF(A70="","",A70&amp;"-"&amp;TEXT(C70,"yyyymmdd"))</f>
        <v/>
      </c>
    </row>
    <row r="71">
      <c r="B71">
        <f>IFERROR(INDEX(TablaDeportistas[primerApellido],MATCH(A71,TablaDeportistas[ID_Deportista],0))&amp;" "&amp;INDEX(TablaDeportistas[nombres],MATCH(A71,TablaDeportistas[ID_Deportista],0)),"")</f>
        <v/>
      </c>
      <c r="Z71">
        <f>IF(OR(I71="",J71=""),"",ROUND(I71/((J71/100)^2),2))</f>
        <v/>
      </c>
      <c r="AA71">
        <f>IF(I71="","",ROUND(IF(K71="",0,K71)+IF(L71="",0,L71)+IF(O71="",0,O71)+IF(P71="",0,P71)+IF(Q71="",0,Q71)+IF(R71="",0,R71),1))</f>
        <v/>
      </c>
      <c r="AB71">
        <f>IF(I71="","",ROUND(IF(K71="",0,K71)+IF(L71="",0,L71)+IF(M71="",0,M71)+IF(N71="",0,N71)+IF(O71="",0,O71)+IF(P71="",0,P71)+IF(Q71="",0,Q71)+IF(R71="",0,R71),1))</f>
        <v/>
      </c>
      <c r="AD71">
        <f>IF(A71="","",A71&amp;"-"&amp;TEXT(C71,"yyyymmdd"))</f>
        <v/>
      </c>
    </row>
    <row r="72">
      <c r="B72">
        <f>IFERROR(INDEX(TablaDeportistas[primerApellido],MATCH(A72,TablaDeportistas[ID_Deportista],0))&amp;" "&amp;INDEX(TablaDeportistas[nombres],MATCH(A72,TablaDeportistas[ID_Deportista],0)),"")</f>
        <v/>
      </c>
      <c r="Z72">
        <f>IF(OR(I72="",J72=""),"",ROUND(I72/((J72/100)^2),2))</f>
        <v/>
      </c>
      <c r="AA72">
        <f>IF(I72="","",ROUND(IF(K72="",0,K72)+IF(L72="",0,L72)+IF(O72="",0,O72)+IF(P72="",0,P72)+IF(Q72="",0,Q72)+IF(R72="",0,R72),1))</f>
        <v/>
      </c>
      <c r="AB72">
        <f>IF(I72="","",ROUND(IF(K72="",0,K72)+IF(L72="",0,L72)+IF(M72="",0,M72)+IF(N72="",0,N72)+IF(O72="",0,O72)+IF(P72="",0,P72)+IF(Q72="",0,Q72)+IF(R72="",0,R72),1))</f>
        <v/>
      </c>
      <c r="AD72">
        <f>IF(A72="","",A72&amp;"-"&amp;TEXT(C72,"yyyymmdd"))</f>
        <v/>
      </c>
    </row>
    <row r="73">
      <c r="B73">
        <f>IFERROR(INDEX(TablaDeportistas[primerApellido],MATCH(A73,TablaDeportistas[ID_Deportista],0))&amp;" "&amp;INDEX(TablaDeportistas[nombres],MATCH(A73,TablaDeportistas[ID_Deportista],0)),"")</f>
        <v/>
      </c>
      <c r="Z73">
        <f>IF(OR(I73="",J73=""),"",ROUND(I73/((J73/100)^2),2))</f>
        <v/>
      </c>
      <c r="AA73">
        <f>IF(I73="","",ROUND(IF(K73="",0,K73)+IF(L73="",0,L73)+IF(O73="",0,O73)+IF(P73="",0,P73)+IF(Q73="",0,Q73)+IF(R73="",0,R73),1))</f>
        <v/>
      </c>
      <c r="AB73">
        <f>IF(I73="","",ROUND(IF(K73="",0,K73)+IF(L73="",0,L73)+IF(M73="",0,M73)+IF(N73="",0,N73)+IF(O73="",0,O73)+IF(P73="",0,P73)+IF(Q73="",0,Q73)+IF(R73="",0,R73),1))</f>
        <v/>
      </c>
      <c r="AD73">
        <f>IF(A73="","",A73&amp;"-"&amp;TEXT(C73,"yyyymmdd"))</f>
        <v/>
      </c>
    </row>
    <row r="74">
      <c r="B74">
        <f>IFERROR(INDEX(TablaDeportistas[primerApellido],MATCH(A74,TablaDeportistas[ID_Deportista],0))&amp;" "&amp;INDEX(TablaDeportistas[nombres],MATCH(A74,TablaDeportistas[ID_Deportista],0)),"")</f>
        <v/>
      </c>
      <c r="Z74">
        <f>IF(OR(I74="",J74=""),"",ROUND(I74/((J74/100)^2),2))</f>
        <v/>
      </c>
      <c r="AA74">
        <f>IF(I74="","",ROUND(IF(K74="",0,K74)+IF(L74="",0,L74)+IF(O74="",0,O74)+IF(P74="",0,P74)+IF(Q74="",0,Q74)+IF(R74="",0,R74),1))</f>
        <v/>
      </c>
      <c r="AB74">
        <f>IF(I74="","",ROUND(IF(K74="",0,K74)+IF(L74="",0,L74)+IF(M74="",0,M74)+IF(N74="",0,N74)+IF(O74="",0,O74)+IF(P74="",0,P74)+IF(Q74="",0,Q74)+IF(R74="",0,R74),1))</f>
        <v/>
      </c>
      <c r="AD74">
        <f>IF(A74="","",A74&amp;"-"&amp;TEXT(C74,"yyyymmdd"))</f>
        <v/>
      </c>
    </row>
    <row r="75">
      <c r="B75">
        <f>IFERROR(INDEX(TablaDeportistas[primerApellido],MATCH(A75,TablaDeportistas[ID_Deportista],0))&amp;" "&amp;INDEX(TablaDeportistas[nombres],MATCH(A75,TablaDeportistas[ID_Deportista],0)),"")</f>
        <v/>
      </c>
      <c r="Z75">
        <f>IF(OR(I75="",J75=""),"",ROUND(I75/((J75/100)^2),2))</f>
        <v/>
      </c>
      <c r="AA75">
        <f>IF(I75="","",ROUND(IF(K75="",0,K75)+IF(L75="",0,L75)+IF(O75="",0,O75)+IF(P75="",0,P75)+IF(Q75="",0,Q75)+IF(R75="",0,R75),1))</f>
        <v/>
      </c>
      <c r="AB75">
        <f>IF(I75="","",ROUND(IF(K75="",0,K75)+IF(L75="",0,L75)+IF(M75="",0,M75)+IF(N75="",0,N75)+IF(O75="",0,O75)+IF(P75="",0,P75)+IF(Q75="",0,Q75)+IF(R75="",0,R75),1))</f>
        <v/>
      </c>
      <c r="AD75">
        <f>IF(A75="","",A75&amp;"-"&amp;TEXT(C75,"yyyymmdd"))</f>
        <v/>
      </c>
    </row>
    <row r="76">
      <c r="B76">
        <f>IFERROR(INDEX(TablaDeportistas[primerApellido],MATCH(A76,TablaDeportistas[ID_Deportista],0))&amp;" "&amp;INDEX(TablaDeportistas[nombres],MATCH(A76,TablaDeportistas[ID_Deportista],0)),"")</f>
        <v/>
      </c>
      <c r="Z76">
        <f>IF(OR(I76="",J76=""),"",ROUND(I76/((J76/100)^2),2))</f>
        <v/>
      </c>
      <c r="AA76">
        <f>IF(I76="","",ROUND(IF(K76="",0,K76)+IF(L76="",0,L76)+IF(O76="",0,O76)+IF(P76="",0,P76)+IF(Q76="",0,Q76)+IF(R76="",0,R76),1))</f>
        <v/>
      </c>
      <c r="AB76">
        <f>IF(I76="","",ROUND(IF(K76="",0,K76)+IF(L76="",0,L76)+IF(M76="",0,M76)+IF(N76="",0,N76)+IF(O76="",0,O76)+IF(P76="",0,P76)+IF(Q76="",0,Q76)+IF(R76="",0,R76),1))</f>
        <v/>
      </c>
      <c r="AD76">
        <f>IF(A76="","",A76&amp;"-"&amp;TEXT(C76,"yyyymmdd"))</f>
        <v/>
      </c>
    </row>
    <row r="77">
      <c r="B77">
        <f>IFERROR(INDEX(TablaDeportistas[primerApellido],MATCH(A77,TablaDeportistas[ID_Deportista],0))&amp;" "&amp;INDEX(TablaDeportistas[nombres],MATCH(A77,TablaDeportistas[ID_Deportista],0)),"")</f>
        <v/>
      </c>
      <c r="Z77">
        <f>IF(OR(I77="",J77=""),"",ROUND(I77/((J77/100)^2),2))</f>
        <v/>
      </c>
      <c r="AA77">
        <f>IF(I77="","",ROUND(IF(K77="",0,K77)+IF(L77="",0,L77)+IF(O77="",0,O77)+IF(P77="",0,P77)+IF(Q77="",0,Q77)+IF(R77="",0,R77),1))</f>
        <v/>
      </c>
      <c r="AB77">
        <f>IF(I77="","",ROUND(IF(K77="",0,K77)+IF(L77="",0,L77)+IF(M77="",0,M77)+IF(N77="",0,N77)+IF(O77="",0,O77)+IF(P77="",0,P77)+IF(Q77="",0,Q77)+IF(R77="",0,R77),1))</f>
        <v/>
      </c>
      <c r="AD77">
        <f>IF(A77="","",A77&amp;"-"&amp;TEXT(C77,"yyyymmdd"))</f>
        <v/>
      </c>
    </row>
    <row r="78">
      <c r="B78">
        <f>IFERROR(INDEX(TablaDeportistas[primerApellido],MATCH(A78,TablaDeportistas[ID_Deportista],0))&amp;" "&amp;INDEX(TablaDeportistas[nombres],MATCH(A78,TablaDeportistas[ID_Deportista],0)),"")</f>
        <v/>
      </c>
      <c r="Z78">
        <f>IF(OR(I78="",J78=""),"",ROUND(I78/((J78/100)^2),2))</f>
        <v/>
      </c>
      <c r="AA78">
        <f>IF(I78="","",ROUND(IF(K78="",0,K78)+IF(L78="",0,L78)+IF(O78="",0,O78)+IF(P78="",0,P78)+IF(Q78="",0,Q78)+IF(R78="",0,R78),1))</f>
        <v/>
      </c>
      <c r="AB78">
        <f>IF(I78="","",ROUND(IF(K78="",0,K78)+IF(L78="",0,L78)+IF(M78="",0,M78)+IF(N78="",0,N78)+IF(O78="",0,O78)+IF(P78="",0,P78)+IF(Q78="",0,Q78)+IF(R78="",0,R78),1))</f>
        <v/>
      </c>
      <c r="AD78">
        <f>IF(A78="","",A78&amp;"-"&amp;TEXT(C78,"yyyymmdd"))</f>
        <v/>
      </c>
    </row>
    <row r="79">
      <c r="B79">
        <f>IFERROR(INDEX(TablaDeportistas[primerApellido],MATCH(A79,TablaDeportistas[ID_Deportista],0))&amp;" "&amp;INDEX(TablaDeportistas[nombres],MATCH(A79,TablaDeportistas[ID_Deportista],0)),"")</f>
        <v/>
      </c>
      <c r="Z79">
        <f>IF(OR(I79="",J79=""),"",ROUND(I79/((J79/100)^2),2))</f>
        <v/>
      </c>
      <c r="AA79">
        <f>IF(I79="","",ROUND(IF(K79="",0,K79)+IF(L79="",0,L79)+IF(O79="",0,O79)+IF(P79="",0,P79)+IF(Q79="",0,Q79)+IF(R79="",0,R79),1))</f>
        <v/>
      </c>
      <c r="AB79">
        <f>IF(I79="","",ROUND(IF(K79="",0,K79)+IF(L79="",0,L79)+IF(M79="",0,M79)+IF(N79="",0,N79)+IF(O79="",0,O79)+IF(P79="",0,P79)+IF(Q79="",0,Q79)+IF(R79="",0,R79),1))</f>
        <v/>
      </c>
      <c r="AD79">
        <f>IF(A79="","",A79&amp;"-"&amp;TEXT(C79,"yyyymmdd"))</f>
        <v/>
      </c>
    </row>
    <row r="80">
      <c r="B80">
        <f>IFERROR(INDEX(TablaDeportistas[primerApellido],MATCH(A80,TablaDeportistas[ID_Deportista],0))&amp;" "&amp;INDEX(TablaDeportistas[nombres],MATCH(A80,TablaDeportistas[ID_Deportista],0)),"")</f>
        <v/>
      </c>
      <c r="Z80">
        <f>IF(OR(I80="",J80=""),"",ROUND(I80/((J80/100)^2),2))</f>
        <v/>
      </c>
      <c r="AA80">
        <f>IF(I80="","",ROUND(IF(K80="",0,K80)+IF(L80="",0,L80)+IF(O80="",0,O80)+IF(P80="",0,P80)+IF(Q80="",0,Q80)+IF(R80="",0,R80),1))</f>
        <v/>
      </c>
      <c r="AB80">
        <f>IF(I80="","",ROUND(IF(K80="",0,K80)+IF(L80="",0,L80)+IF(M80="",0,M80)+IF(N80="",0,N80)+IF(O80="",0,O80)+IF(P80="",0,P80)+IF(Q80="",0,Q80)+IF(R80="",0,R80),1))</f>
        <v/>
      </c>
      <c r="AD80">
        <f>IF(A80="","",A80&amp;"-"&amp;TEXT(C80,"yyyymmdd"))</f>
        <v/>
      </c>
    </row>
    <row r="81">
      <c r="B81">
        <f>IFERROR(INDEX(TablaDeportistas[primerApellido],MATCH(A81,TablaDeportistas[ID_Deportista],0))&amp;" "&amp;INDEX(TablaDeportistas[nombres],MATCH(A81,TablaDeportistas[ID_Deportista],0)),"")</f>
        <v/>
      </c>
      <c r="Z81">
        <f>IF(OR(I81="",J81=""),"",ROUND(I81/((J81/100)^2),2))</f>
        <v/>
      </c>
      <c r="AA81">
        <f>IF(I81="","",ROUND(IF(K81="",0,K81)+IF(L81="",0,L81)+IF(O81="",0,O81)+IF(P81="",0,P81)+IF(Q81="",0,Q81)+IF(R81="",0,R81),1))</f>
        <v/>
      </c>
      <c r="AB81">
        <f>IF(I81="","",ROUND(IF(K81="",0,K81)+IF(L81="",0,L81)+IF(M81="",0,M81)+IF(N81="",0,N81)+IF(O81="",0,O81)+IF(P81="",0,P81)+IF(Q81="",0,Q81)+IF(R81="",0,R81),1))</f>
        <v/>
      </c>
      <c r="AD81">
        <f>IF(A81="","",A81&amp;"-"&amp;TEXT(C81,"yyyymmdd"))</f>
        <v/>
      </c>
    </row>
    <row r="82">
      <c r="B82">
        <f>IFERROR(INDEX(TablaDeportistas[primerApellido],MATCH(A82,TablaDeportistas[ID_Deportista],0))&amp;" "&amp;INDEX(TablaDeportistas[nombres],MATCH(A82,TablaDeportistas[ID_Deportista],0)),"")</f>
        <v/>
      </c>
      <c r="Z82">
        <f>IF(OR(I82="",J82=""),"",ROUND(I82/((J82/100)^2),2))</f>
        <v/>
      </c>
      <c r="AA82">
        <f>IF(I82="","",ROUND(IF(K82="",0,K82)+IF(L82="",0,L82)+IF(O82="",0,O82)+IF(P82="",0,P82)+IF(Q82="",0,Q82)+IF(R82="",0,R82),1))</f>
        <v/>
      </c>
      <c r="AB82">
        <f>IF(I82="","",ROUND(IF(K82="",0,K82)+IF(L82="",0,L82)+IF(M82="",0,M82)+IF(N82="",0,N82)+IF(O82="",0,O82)+IF(P82="",0,P82)+IF(Q82="",0,Q82)+IF(R82="",0,R82),1))</f>
        <v/>
      </c>
      <c r="AD82">
        <f>IF(A82="","",A82&amp;"-"&amp;TEXT(C82,"yyyymmdd"))</f>
        <v/>
      </c>
    </row>
    <row r="83">
      <c r="B83">
        <f>IFERROR(INDEX(TablaDeportistas[primerApellido],MATCH(A83,TablaDeportistas[ID_Deportista],0))&amp;" "&amp;INDEX(TablaDeportistas[nombres],MATCH(A83,TablaDeportistas[ID_Deportista],0)),"")</f>
        <v/>
      </c>
      <c r="Z83">
        <f>IF(OR(I83="",J83=""),"",ROUND(I83/((J83/100)^2),2))</f>
        <v/>
      </c>
      <c r="AA83">
        <f>IF(I83="","",ROUND(IF(K83="",0,K83)+IF(L83="",0,L83)+IF(O83="",0,O83)+IF(P83="",0,P83)+IF(Q83="",0,Q83)+IF(R83="",0,R83),1))</f>
        <v/>
      </c>
      <c r="AB83">
        <f>IF(I83="","",ROUND(IF(K83="",0,K83)+IF(L83="",0,L83)+IF(M83="",0,M83)+IF(N83="",0,N83)+IF(O83="",0,O83)+IF(P83="",0,P83)+IF(Q83="",0,Q83)+IF(R83="",0,R83),1))</f>
        <v/>
      </c>
      <c r="AD83">
        <f>IF(A83="","",A83&amp;"-"&amp;TEXT(C83,"yyyymmdd"))</f>
        <v/>
      </c>
    </row>
    <row r="84">
      <c r="B84">
        <f>IFERROR(INDEX(TablaDeportistas[primerApellido],MATCH(A84,TablaDeportistas[ID_Deportista],0))&amp;" "&amp;INDEX(TablaDeportistas[nombres],MATCH(A84,TablaDeportistas[ID_Deportista],0)),"")</f>
        <v/>
      </c>
      <c r="Z84">
        <f>IF(OR(I84="",J84=""),"",ROUND(I84/((J84/100)^2),2))</f>
        <v/>
      </c>
      <c r="AA84">
        <f>IF(I84="","",ROUND(IF(K84="",0,K84)+IF(L84="",0,L84)+IF(O84="",0,O84)+IF(P84="",0,P84)+IF(Q84="",0,Q84)+IF(R84="",0,R84),1))</f>
        <v/>
      </c>
      <c r="AB84">
        <f>IF(I84="","",ROUND(IF(K84="",0,K84)+IF(L84="",0,L84)+IF(M84="",0,M84)+IF(N84="",0,N84)+IF(O84="",0,O84)+IF(P84="",0,P84)+IF(Q84="",0,Q84)+IF(R84="",0,R84),1))</f>
        <v/>
      </c>
      <c r="AD84">
        <f>IF(A84="","",A84&amp;"-"&amp;TEXT(C84,"yyyymmdd"))</f>
        <v/>
      </c>
    </row>
    <row r="85">
      <c r="B85">
        <f>IFERROR(INDEX(TablaDeportistas[primerApellido],MATCH(A85,TablaDeportistas[ID_Deportista],0))&amp;" "&amp;INDEX(TablaDeportistas[nombres],MATCH(A85,TablaDeportistas[ID_Deportista],0)),"")</f>
        <v/>
      </c>
      <c r="Z85">
        <f>IF(OR(I85="",J85=""),"",ROUND(I85/((J85/100)^2),2))</f>
        <v/>
      </c>
      <c r="AA85">
        <f>IF(I85="","",ROUND(IF(K85="",0,K85)+IF(L85="",0,L85)+IF(O85="",0,O85)+IF(P85="",0,P85)+IF(Q85="",0,Q85)+IF(R85="",0,R85),1))</f>
        <v/>
      </c>
      <c r="AB85">
        <f>IF(I85="","",ROUND(IF(K85="",0,K85)+IF(L85="",0,L85)+IF(M85="",0,M85)+IF(N85="",0,N85)+IF(O85="",0,O85)+IF(P85="",0,P85)+IF(Q85="",0,Q85)+IF(R85="",0,R85),1))</f>
        <v/>
      </c>
      <c r="AD85">
        <f>IF(A85="","",A85&amp;"-"&amp;TEXT(C85,"yyyymmdd"))</f>
        <v/>
      </c>
    </row>
    <row r="86">
      <c r="B86">
        <f>IFERROR(INDEX(TablaDeportistas[primerApellido],MATCH(A86,TablaDeportistas[ID_Deportista],0))&amp;" "&amp;INDEX(TablaDeportistas[nombres],MATCH(A86,TablaDeportistas[ID_Deportista],0)),"")</f>
        <v/>
      </c>
      <c r="Z86">
        <f>IF(OR(I86="",J86=""),"",ROUND(I86/((J86/100)^2),2))</f>
        <v/>
      </c>
      <c r="AA86">
        <f>IF(I86="","",ROUND(IF(K86="",0,K86)+IF(L86="",0,L86)+IF(O86="",0,O86)+IF(P86="",0,P86)+IF(Q86="",0,Q86)+IF(R86="",0,R86),1))</f>
        <v/>
      </c>
      <c r="AB86">
        <f>IF(I86="","",ROUND(IF(K86="",0,K86)+IF(L86="",0,L86)+IF(M86="",0,M86)+IF(N86="",0,N86)+IF(O86="",0,O86)+IF(P86="",0,P86)+IF(Q86="",0,Q86)+IF(R86="",0,R86),1))</f>
        <v/>
      </c>
      <c r="AD86">
        <f>IF(A86="","",A86&amp;"-"&amp;TEXT(C86,"yyyymmdd"))</f>
        <v/>
      </c>
    </row>
    <row r="87">
      <c r="B87">
        <f>IFERROR(INDEX(TablaDeportistas[primerApellido],MATCH(A87,TablaDeportistas[ID_Deportista],0))&amp;" "&amp;INDEX(TablaDeportistas[nombres],MATCH(A87,TablaDeportistas[ID_Deportista],0)),"")</f>
        <v/>
      </c>
      <c r="Z87">
        <f>IF(OR(I87="",J87=""),"",ROUND(I87/((J87/100)^2),2))</f>
        <v/>
      </c>
      <c r="AA87">
        <f>IF(I87="","",ROUND(IF(K87="",0,K87)+IF(L87="",0,L87)+IF(O87="",0,O87)+IF(P87="",0,P87)+IF(Q87="",0,Q87)+IF(R87="",0,R87),1))</f>
        <v/>
      </c>
      <c r="AB87">
        <f>IF(I87="","",ROUND(IF(K87="",0,K87)+IF(L87="",0,L87)+IF(M87="",0,M87)+IF(N87="",0,N87)+IF(O87="",0,O87)+IF(P87="",0,P87)+IF(Q87="",0,Q87)+IF(R87="",0,R87),1))</f>
        <v/>
      </c>
      <c r="AD87">
        <f>IF(A87="","",A87&amp;"-"&amp;TEXT(C87,"yyyymmdd"))</f>
        <v/>
      </c>
    </row>
    <row r="88">
      <c r="B88">
        <f>IFERROR(INDEX(TablaDeportistas[primerApellido],MATCH(A88,TablaDeportistas[ID_Deportista],0))&amp;" "&amp;INDEX(TablaDeportistas[nombres],MATCH(A88,TablaDeportistas[ID_Deportista],0)),"")</f>
        <v/>
      </c>
      <c r="Z88">
        <f>IF(OR(I88="",J88=""),"",ROUND(I88/((J88/100)^2),2))</f>
        <v/>
      </c>
      <c r="AA88">
        <f>IF(I88="","",ROUND(IF(K88="",0,K88)+IF(L88="",0,L88)+IF(O88="",0,O88)+IF(P88="",0,P88)+IF(Q88="",0,Q88)+IF(R88="",0,R88),1))</f>
        <v/>
      </c>
      <c r="AB88">
        <f>IF(I88="","",ROUND(IF(K88="",0,K88)+IF(L88="",0,L88)+IF(M88="",0,M88)+IF(N88="",0,N88)+IF(O88="",0,O88)+IF(P88="",0,P88)+IF(Q88="",0,Q88)+IF(R88="",0,R88),1))</f>
        <v/>
      </c>
      <c r="AD88">
        <f>IF(A88="","",A88&amp;"-"&amp;TEXT(C88,"yyyymmdd"))</f>
        <v/>
      </c>
    </row>
    <row r="89">
      <c r="B89">
        <f>IFERROR(INDEX(TablaDeportistas[primerApellido],MATCH(A89,TablaDeportistas[ID_Deportista],0))&amp;" "&amp;INDEX(TablaDeportistas[nombres],MATCH(A89,TablaDeportistas[ID_Deportista],0)),"")</f>
        <v/>
      </c>
      <c r="Z89">
        <f>IF(OR(I89="",J89=""),"",ROUND(I89/((J89/100)^2),2))</f>
        <v/>
      </c>
      <c r="AA89">
        <f>IF(I89="","",ROUND(IF(K89="",0,K89)+IF(L89="",0,L89)+IF(O89="",0,O89)+IF(P89="",0,P89)+IF(Q89="",0,Q89)+IF(R89="",0,R89),1))</f>
        <v/>
      </c>
      <c r="AB89">
        <f>IF(I89="","",ROUND(IF(K89="",0,K89)+IF(L89="",0,L89)+IF(M89="",0,M89)+IF(N89="",0,N89)+IF(O89="",0,O89)+IF(P89="",0,P89)+IF(Q89="",0,Q89)+IF(R89="",0,R89),1))</f>
        <v/>
      </c>
      <c r="AD89">
        <f>IF(A89="","",A89&amp;"-"&amp;TEXT(C89,"yyyymmdd"))</f>
        <v/>
      </c>
    </row>
    <row r="90">
      <c r="B90">
        <f>IFERROR(INDEX(TablaDeportistas[primerApellido],MATCH(A90,TablaDeportistas[ID_Deportista],0))&amp;" "&amp;INDEX(TablaDeportistas[nombres],MATCH(A90,TablaDeportistas[ID_Deportista],0)),"")</f>
        <v/>
      </c>
      <c r="Z90">
        <f>IF(OR(I90="",J90=""),"",ROUND(I90/((J90/100)^2),2))</f>
        <v/>
      </c>
      <c r="AA90">
        <f>IF(I90="","",ROUND(IF(K90="",0,K90)+IF(L90="",0,L90)+IF(O90="",0,O90)+IF(P90="",0,P90)+IF(Q90="",0,Q90)+IF(R90="",0,R90),1))</f>
        <v/>
      </c>
      <c r="AB90">
        <f>IF(I90="","",ROUND(IF(K90="",0,K90)+IF(L90="",0,L90)+IF(M90="",0,M90)+IF(N90="",0,N90)+IF(O90="",0,O90)+IF(P90="",0,P90)+IF(Q90="",0,Q90)+IF(R90="",0,R90),1))</f>
        <v/>
      </c>
      <c r="AD90">
        <f>IF(A90="","",A90&amp;"-"&amp;TEXT(C90,"yyyymmdd"))</f>
        <v/>
      </c>
    </row>
    <row r="91">
      <c r="B91">
        <f>IFERROR(INDEX(TablaDeportistas[primerApellido],MATCH(A91,TablaDeportistas[ID_Deportista],0))&amp;" "&amp;INDEX(TablaDeportistas[nombres],MATCH(A91,TablaDeportistas[ID_Deportista],0)),"")</f>
        <v/>
      </c>
      <c r="Z91">
        <f>IF(OR(I91="",J91=""),"",ROUND(I91/((J91/100)^2),2))</f>
        <v/>
      </c>
      <c r="AA91">
        <f>IF(I91="","",ROUND(IF(K91="",0,K91)+IF(L91="",0,L91)+IF(O91="",0,O91)+IF(P91="",0,P91)+IF(Q91="",0,Q91)+IF(R91="",0,R91),1))</f>
        <v/>
      </c>
      <c r="AB91">
        <f>IF(I91="","",ROUND(IF(K91="",0,K91)+IF(L91="",0,L91)+IF(M91="",0,M91)+IF(N91="",0,N91)+IF(O91="",0,O91)+IF(P91="",0,P91)+IF(Q91="",0,Q91)+IF(R91="",0,R91),1))</f>
        <v/>
      </c>
      <c r="AD91">
        <f>IF(A91="","",A91&amp;"-"&amp;TEXT(C91,"yyyymmdd"))</f>
        <v/>
      </c>
    </row>
    <row r="92">
      <c r="B92">
        <f>IFERROR(INDEX(TablaDeportistas[primerApellido],MATCH(A92,TablaDeportistas[ID_Deportista],0))&amp;" "&amp;INDEX(TablaDeportistas[nombres],MATCH(A92,TablaDeportistas[ID_Deportista],0)),"")</f>
        <v/>
      </c>
      <c r="Z92">
        <f>IF(OR(I92="",J92=""),"",ROUND(I92/((J92/100)^2),2))</f>
        <v/>
      </c>
      <c r="AA92">
        <f>IF(I92="","",ROUND(IF(K92="",0,K92)+IF(L92="",0,L92)+IF(O92="",0,O92)+IF(P92="",0,P92)+IF(Q92="",0,Q92)+IF(R92="",0,R92),1))</f>
        <v/>
      </c>
      <c r="AB92">
        <f>IF(I92="","",ROUND(IF(K92="",0,K92)+IF(L92="",0,L92)+IF(M92="",0,M92)+IF(N92="",0,N92)+IF(O92="",0,O92)+IF(P92="",0,P92)+IF(Q92="",0,Q92)+IF(R92="",0,R92),1))</f>
        <v/>
      </c>
      <c r="AD92">
        <f>IF(A92="","",A92&amp;"-"&amp;TEXT(C92,"yyyymmdd"))</f>
        <v/>
      </c>
    </row>
    <row r="93">
      <c r="B93">
        <f>IFERROR(INDEX(TablaDeportistas[primerApellido],MATCH(A93,TablaDeportistas[ID_Deportista],0))&amp;" "&amp;INDEX(TablaDeportistas[nombres],MATCH(A93,TablaDeportistas[ID_Deportista],0)),"")</f>
        <v/>
      </c>
      <c r="Z93">
        <f>IF(OR(I93="",J93=""),"",ROUND(I93/((J93/100)^2),2))</f>
        <v/>
      </c>
      <c r="AA93">
        <f>IF(I93="","",ROUND(IF(K93="",0,K93)+IF(L93="",0,L93)+IF(O93="",0,O93)+IF(P93="",0,P93)+IF(Q93="",0,Q93)+IF(R93="",0,R93),1))</f>
        <v/>
      </c>
      <c r="AB93">
        <f>IF(I93="","",ROUND(IF(K93="",0,K93)+IF(L93="",0,L93)+IF(M93="",0,M93)+IF(N93="",0,N93)+IF(O93="",0,O93)+IF(P93="",0,P93)+IF(Q93="",0,Q93)+IF(R93="",0,R93),1))</f>
        <v/>
      </c>
      <c r="AD93">
        <f>IF(A93="","",A93&amp;"-"&amp;TEXT(C93,"yyyymmdd"))</f>
        <v/>
      </c>
    </row>
    <row r="94">
      <c r="B94">
        <f>IFERROR(INDEX(TablaDeportistas[primerApellido],MATCH(A94,TablaDeportistas[ID_Deportista],0))&amp;" "&amp;INDEX(TablaDeportistas[nombres],MATCH(A94,TablaDeportistas[ID_Deportista],0)),"")</f>
        <v/>
      </c>
      <c r="Z94">
        <f>IF(OR(I94="",J94=""),"",ROUND(I94/((J94/100)^2),2))</f>
        <v/>
      </c>
      <c r="AA94">
        <f>IF(I94="","",ROUND(IF(K94="",0,K94)+IF(L94="",0,L94)+IF(O94="",0,O94)+IF(P94="",0,P94)+IF(Q94="",0,Q94)+IF(R94="",0,R94),1))</f>
        <v/>
      </c>
      <c r="AB94">
        <f>IF(I94="","",ROUND(IF(K94="",0,K94)+IF(L94="",0,L94)+IF(M94="",0,M94)+IF(N94="",0,N94)+IF(O94="",0,O94)+IF(P94="",0,P94)+IF(Q94="",0,Q94)+IF(R94="",0,R94),1))</f>
        <v/>
      </c>
      <c r="AD94">
        <f>IF(A94="","",A94&amp;"-"&amp;TEXT(C94,"yyyymmdd"))</f>
        <v/>
      </c>
    </row>
    <row r="95">
      <c r="B95">
        <f>IFERROR(INDEX(TablaDeportistas[primerApellido],MATCH(A95,TablaDeportistas[ID_Deportista],0))&amp;" "&amp;INDEX(TablaDeportistas[nombres],MATCH(A95,TablaDeportistas[ID_Deportista],0)),"")</f>
        <v/>
      </c>
      <c r="Z95">
        <f>IF(OR(I95="",J95=""),"",ROUND(I95/((J95/100)^2),2))</f>
        <v/>
      </c>
      <c r="AA95">
        <f>IF(I95="","",ROUND(IF(K95="",0,K95)+IF(L95="",0,L95)+IF(O95="",0,O95)+IF(P95="",0,P95)+IF(Q95="",0,Q95)+IF(R95="",0,R95),1))</f>
        <v/>
      </c>
      <c r="AB95">
        <f>IF(I95="","",ROUND(IF(K95="",0,K95)+IF(L95="",0,L95)+IF(M95="",0,M95)+IF(N95="",0,N95)+IF(O95="",0,O95)+IF(P95="",0,P95)+IF(Q95="",0,Q95)+IF(R95="",0,R95),1))</f>
        <v/>
      </c>
      <c r="AD95">
        <f>IF(A95="","",A95&amp;"-"&amp;TEXT(C95,"yyyymmdd"))</f>
        <v/>
      </c>
    </row>
    <row r="96">
      <c r="B96">
        <f>IFERROR(INDEX(TablaDeportistas[primerApellido],MATCH(A96,TablaDeportistas[ID_Deportista],0))&amp;" "&amp;INDEX(TablaDeportistas[nombres],MATCH(A96,TablaDeportistas[ID_Deportista],0)),"")</f>
        <v/>
      </c>
      <c r="Z96">
        <f>IF(OR(I96="",J96=""),"",ROUND(I96/((J96/100)^2),2))</f>
        <v/>
      </c>
      <c r="AA96">
        <f>IF(I96="","",ROUND(IF(K96="",0,K96)+IF(L96="",0,L96)+IF(O96="",0,O96)+IF(P96="",0,P96)+IF(Q96="",0,Q96)+IF(R96="",0,R96),1))</f>
        <v/>
      </c>
      <c r="AB96">
        <f>IF(I96="","",ROUND(IF(K96="",0,K96)+IF(L96="",0,L96)+IF(M96="",0,M96)+IF(N96="",0,N96)+IF(O96="",0,O96)+IF(P96="",0,P96)+IF(Q96="",0,Q96)+IF(R96="",0,R96),1))</f>
        <v/>
      </c>
      <c r="AD96">
        <f>IF(A96="","",A96&amp;"-"&amp;TEXT(C96,"yyyymmdd"))</f>
        <v/>
      </c>
    </row>
    <row r="97">
      <c r="B97">
        <f>IFERROR(INDEX(TablaDeportistas[primerApellido],MATCH(A97,TablaDeportistas[ID_Deportista],0))&amp;" "&amp;INDEX(TablaDeportistas[nombres],MATCH(A97,TablaDeportistas[ID_Deportista],0)),"")</f>
        <v/>
      </c>
      <c r="Z97">
        <f>IF(OR(I97="",J97=""),"",ROUND(I97/((J97/100)^2),2))</f>
        <v/>
      </c>
      <c r="AA97">
        <f>IF(I97="","",ROUND(IF(K97="",0,K97)+IF(L97="",0,L97)+IF(O97="",0,O97)+IF(P97="",0,P97)+IF(Q97="",0,Q97)+IF(R97="",0,R97),1))</f>
        <v/>
      </c>
      <c r="AB97">
        <f>IF(I97="","",ROUND(IF(K97="",0,K97)+IF(L97="",0,L97)+IF(M97="",0,M97)+IF(N97="",0,N97)+IF(O97="",0,O97)+IF(P97="",0,P97)+IF(Q97="",0,Q97)+IF(R97="",0,R97),1))</f>
        <v/>
      </c>
      <c r="AD97">
        <f>IF(A97="","",A97&amp;"-"&amp;TEXT(C97,"yyyymmdd"))</f>
        <v/>
      </c>
    </row>
    <row r="98">
      <c r="B98">
        <f>IFERROR(INDEX(TablaDeportistas[primerApellido],MATCH(A98,TablaDeportistas[ID_Deportista],0))&amp;" "&amp;INDEX(TablaDeportistas[nombres],MATCH(A98,TablaDeportistas[ID_Deportista],0)),"")</f>
        <v/>
      </c>
      <c r="Z98">
        <f>IF(OR(I98="",J98=""),"",ROUND(I98/((J98/100)^2),2))</f>
        <v/>
      </c>
      <c r="AA98">
        <f>IF(I98="","",ROUND(IF(K98="",0,K98)+IF(L98="",0,L98)+IF(O98="",0,O98)+IF(P98="",0,P98)+IF(Q98="",0,Q98)+IF(R98="",0,R98),1))</f>
        <v/>
      </c>
      <c r="AB98">
        <f>IF(I98="","",ROUND(IF(K98="",0,K98)+IF(L98="",0,L98)+IF(M98="",0,M98)+IF(N98="",0,N98)+IF(O98="",0,O98)+IF(P98="",0,P98)+IF(Q98="",0,Q98)+IF(R98="",0,R98),1))</f>
        <v/>
      </c>
      <c r="AD98">
        <f>IF(A98="","",A98&amp;"-"&amp;TEXT(C98,"yyyymmdd"))</f>
        <v/>
      </c>
    </row>
    <row r="99">
      <c r="B99">
        <f>IFERROR(INDEX(TablaDeportistas[primerApellido],MATCH(A99,TablaDeportistas[ID_Deportista],0))&amp;" "&amp;INDEX(TablaDeportistas[nombres],MATCH(A99,TablaDeportistas[ID_Deportista],0)),"")</f>
        <v/>
      </c>
      <c r="Z99">
        <f>IF(OR(I99="",J99=""),"",ROUND(I99/((J99/100)^2),2))</f>
        <v/>
      </c>
      <c r="AA99">
        <f>IF(I99="","",ROUND(IF(K99="",0,K99)+IF(L99="",0,L99)+IF(O99="",0,O99)+IF(P99="",0,P99)+IF(Q99="",0,Q99)+IF(R99="",0,R99),1))</f>
        <v/>
      </c>
      <c r="AB99">
        <f>IF(I99="","",ROUND(IF(K99="",0,K99)+IF(L99="",0,L99)+IF(M99="",0,M99)+IF(N99="",0,N99)+IF(O99="",0,O99)+IF(P99="",0,P99)+IF(Q99="",0,Q99)+IF(R99="",0,R99),1))</f>
        <v/>
      </c>
      <c r="AD99">
        <f>IF(A99="","",A99&amp;"-"&amp;TEXT(C99,"yyyymmdd"))</f>
        <v/>
      </c>
    </row>
    <row r="100">
      <c r="B100">
        <f>IFERROR(INDEX(TablaDeportistas[primerApellido],MATCH(A100,TablaDeportistas[ID_Deportista],0))&amp;" "&amp;INDEX(TablaDeportistas[nombres],MATCH(A100,TablaDeportistas[ID_Deportista],0)),"")</f>
        <v/>
      </c>
      <c r="Z100">
        <f>IF(OR(I100="",J100=""),"",ROUND(I100/((J100/100)^2),2))</f>
        <v/>
      </c>
      <c r="AA100">
        <f>IF(I100="","",ROUND(IF(K100="",0,K100)+IF(L100="",0,L100)+IF(O100="",0,O100)+IF(P100="",0,P100)+IF(Q100="",0,Q100)+IF(R100="",0,R100),1))</f>
        <v/>
      </c>
      <c r="AB100">
        <f>IF(I100="","",ROUND(IF(K100="",0,K100)+IF(L100="",0,L100)+IF(M100="",0,M100)+IF(N100="",0,N100)+IF(O100="",0,O100)+IF(P100="",0,P100)+IF(Q100="",0,Q100)+IF(R100="",0,R100),1))</f>
        <v/>
      </c>
      <c r="AD100">
        <f>IF(A100="","",A100&amp;"-"&amp;TEXT(C100,"yyyymmdd"))</f>
        <v/>
      </c>
    </row>
    <row r="101">
      <c r="B101">
        <f>IFERROR(INDEX(TablaDeportistas[primerApellido],MATCH(A101,TablaDeportistas[ID_Deportista],0))&amp;" "&amp;INDEX(TablaDeportistas[nombres],MATCH(A101,TablaDeportistas[ID_Deportista],0)),"")</f>
        <v/>
      </c>
      <c r="Z101">
        <f>IF(OR(I101="",J101=""),"",ROUND(I101/((J101/100)^2),2))</f>
        <v/>
      </c>
      <c r="AA101">
        <f>IF(I101="","",ROUND(IF(K101="",0,K101)+IF(L101="",0,L101)+IF(O101="",0,O101)+IF(P101="",0,P101)+IF(Q101="",0,Q101)+IF(R101="",0,R101),1))</f>
        <v/>
      </c>
      <c r="AB101">
        <f>IF(I101="","",ROUND(IF(K101="",0,K101)+IF(L101="",0,L101)+IF(M101="",0,M101)+IF(N101="",0,N101)+IF(O101="",0,O101)+IF(P101="",0,P101)+IF(Q101="",0,Q101)+IF(R101="",0,R101),1))</f>
        <v/>
      </c>
      <c r="AD101">
        <f>IF(A101="","",A101&amp;"-"&amp;TEXT(C101,"yyyymmdd"))</f>
        <v/>
      </c>
    </row>
    <row r="102">
      <c r="B102">
        <f>IFERROR(INDEX(TablaDeportistas[primerApellido],MATCH(A102,TablaDeportistas[ID_Deportista],0))&amp;" "&amp;INDEX(TablaDeportistas[nombres],MATCH(A102,TablaDeportistas[ID_Deportista],0)),"")</f>
        <v/>
      </c>
      <c r="Z102">
        <f>IF(OR(I102="",J102=""),"",ROUND(I102/((J102/100)^2),2))</f>
        <v/>
      </c>
      <c r="AA102">
        <f>IF(I102="","",ROUND(IF(K102="",0,K102)+IF(L102="",0,L102)+IF(O102="",0,O102)+IF(P102="",0,P102)+IF(Q102="",0,Q102)+IF(R102="",0,R102),1))</f>
        <v/>
      </c>
      <c r="AB102">
        <f>IF(I102="","",ROUND(IF(K102="",0,K102)+IF(L102="",0,L102)+IF(M102="",0,M102)+IF(N102="",0,N102)+IF(O102="",0,O102)+IF(P102="",0,P102)+IF(Q102="",0,Q102)+IF(R102="",0,R102),1))</f>
        <v/>
      </c>
      <c r="AD102">
        <f>IF(A102="","",A102&amp;"-"&amp;TEXT(C102,"yyyymmdd"))</f>
        <v/>
      </c>
    </row>
    <row r="103">
      <c r="B103">
        <f>IFERROR(INDEX(TablaDeportistas[primerApellido],MATCH(A103,TablaDeportistas[ID_Deportista],0))&amp;" "&amp;INDEX(TablaDeportistas[nombres],MATCH(A103,TablaDeportistas[ID_Deportista],0)),"")</f>
        <v/>
      </c>
      <c r="Z103">
        <f>IF(OR(I103="",J103=""),"",ROUND(I103/((J103/100)^2),2))</f>
        <v/>
      </c>
      <c r="AA103">
        <f>IF(I103="","",ROUND(IF(K103="",0,K103)+IF(L103="",0,L103)+IF(O103="",0,O103)+IF(P103="",0,P103)+IF(Q103="",0,Q103)+IF(R103="",0,R103),1))</f>
        <v/>
      </c>
      <c r="AB103">
        <f>IF(I103="","",ROUND(IF(K103="",0,K103)+IF(L103="",0,L103)+IF(M103="",0,M103)+IF(N103="",0,N103)+IF(O103="",0,O103)+IF(P103="",0,P103)+IF(Q103="",0,Q103)+IF(R103="",0,R103),1))</f>
        <v/>
      </c>
      <c r="AD103">
        <f>IF(A103="","",A103&amp;"-"&amp;TEXT(C103,"yyyymmdd"))</f>
        <v/>
      </c>
    </row>
    <row r="104">
      <c r="B104">
        <f>IFERROR(INDEX(TablaDeportistas[primerApellido],MATCH(A104,TablaDeportistas[ID_Deportista],0))&amp;" "&amp;INDEX(TablaDeportistas[nombres],MATCH(A104,TablaDeportistas[ID_Deportista],0)),"")</f>
        <v/>
      </c>
      <c r="Z104">
        <f>IF(OR(I104="",J104=""),"",ROUND(I104/((J104/100)^2),2))</f>
        <v/>
      </c>
      <c r="AA104">
        <f>IF(I104="","",ROUND(IF(K104="",0,K104)+IF(L104="",0,L104)+IF(O104="",0,O104)+IF(P104="",0,P104)+IF(Q104="",0,Q104)+IF(R104="",0,R104),1))</f>
        <v/>
      </c>
      <c r="AB104">
        <f>IF(I104="","",ROUND(IF(K104="",0,K104)+IF(L104="",0,L104)+IF(M104="",0,M104)+IF(N104="",0,N104)+IF(O104="",0,O104)+IF(P104="",0,P104)+IF(Q104="",0,Q104)+IF(R104="",0,R104),1))</f>
        <v/>
      </c>
      <c r="AD104">
        <f>IF(A104="","",A104&amp;"-"&amp;TEXT(C104,"yyyymmdd"))</f>
        <v/>
      </c>
    </row>
    <row r="105">
      <c r="B105">
        <f>IFERROR(INDEX(TablaDeportistas[primerApellido],MATCH(A105,TablaDeportistas[ID_Deportista],0))&amp;" "&amp;INDEX(TablaDeportistas[nombres],MATCH(A105,TablaDeportistas[ID_Deportista],0)),"")</f>
        <v/>
      </c>
      <c r="Z105">
        <f>IF(OR(I105="",J105=""),"",ROUND(I105/((J105/100)^2),2))</f>
        <v/>
      </c>
      <c r="AA105">
        <f>IF(I105="","",ROUND(IF(K105="",0,K105)+IF(L105="",0,L105)+IF(O105="",0,O105)+IF(P105="",0,P105)+IF(Q105="",0,Q105)+IF(R105="",0,R105),1))</f>
        <v/>
      </c>
      <c r="AB105">
        <f>IF(I105="","",ROUND(IF(K105="",0,K105)+IF(L105="",0,L105)+IF(M105="",0,M105)+IF(N105="",0,N105)+IF(O105="",0,O105)+IF(P105="",0,P105)+IF(Q105="",0,Q105)+IF(R105="",0,R105),1))</f>
        <v/>
      </c>
      <c r="AD105">
        <f>IF(A105="","",A105&amp;"-"&amp;TEXT(C105,"yyyymmdd"))</f>
        <v/>
      </c>
    </row>
    <row r="106">
      <c r="B106">
        <f>IFERROR(INDEX(TablaDeportistas[primerApellido],MATCH(A106,TablaDeportistas[ID_Deportista],0))&amp;" "&amp;INDEX(TablaDeportistas[nombres],MATCH(A106,TablaDeportistas[ID_Deportista],0)),"")</f>
        <v/>
      </c>
      <c r="Z106">
        <f>IF(OR(I106="",J106=""),"",ROUND(I106/((J106/100)^2),2))</f>
        <v/>
      </c>
      <c r="AA106">
        <f>IF(I106="","",ROUND(IF(K106="",0,K106)+IF(L106="",0,L106)+IF(O106="",0,O106)+IF(P106="",0,P106)+IF(Q106="",0,Q106)+IF(R106="",0,R106),1))</f>
        <v/>
      </c>
      <c r="AB106">
        <f>IF(I106="","",ROUND(IF(K106="",0,K106)+IF(L106="",0,L106)+IF(M106="",0,M106)+IF(N106="",0,N106)+IF(O106="",0,O106)+IF(P106="",0,P106)+IF(Q106="",0,Q106)+IF(R106="",0,R106),1))</f>
        <v/>
      </c>
      <c r="AD106">
        <f>IF(A106="","",A106&amp;"-"&amp;TEXT(C106,"yyyymmdd"))</f>
        <v/>
      </c>
    </row>
    <row r="107">
      <c r="B107">
        <f>IFERROR(INDEX(TablaDeportistas[primerApellido],MATCH(A107,TablaDeportistas[ID_Deportista],0))&amp;" "&amp;INDEX(TablaDeportistas[nombres],MATCH(A107,TablaDeportistas[ID_Deportista],0)),"")</f>
        <v/>
      </c>
      <c r="Z107">
        <f>IF(OR(I107="",J107=""),"",ROUND(I107/((J107/100)^2),2))</f>
        <v/>
      </c>
      <c r="AA107">
        <f>IF(I107="","",ROUND(IF(K107="",0,K107)+IF(L107="",0,L107)+IF(O107="",0,O107)+IF(P107="",0,P107)+IF(Q107="",0,Q107)+IF(R107="",0,R107),1))</f>
        <v/>
      </c>
      <c r="AB107">
        <f>IF(I107="","",ROUND(IF(K107="",0,K107)+IF(L107="",0,L107)+IF(M107="",0,M107)+IF(N107="",0,N107)+IF(O107="",0,O107)+IF(P107="",0,P107)+IF(Q107="",0,Q107)+IF(R107="",0,R107),1))</f>
        <v/>
      </c>
      <c r="AD107">
        <f>IF(A107="","",A107&amp;"-"&amp;TEXT(C107,"yyyymmdd"))</f>
        <v/>
      </c>
    </row>
    <row r="108">
      <c r="B108">
        <f>IFERROR(INDEX(TablaDeportistas[primerApellido],MATCH(A108,TablaDeportistas[ID_Deportista],0))&amp;" "&amp;INDEX(TablaDeportistas[nombres],MATCH(A108,TablaDeportistas[ID_Deportista],0)),"")</f>
        <v/>
      </c>
      <c r="Z108">
        <f>IF(OR(I108="",J108=""),"",ROUND(I108/((J108/100)^2),2))</f>
        <v/>
      </c>
      <c r="AA108">
        <f>IF(I108="","",ROUND(IF(K108="",0,K108)+IF(L108="",0,L108)+IF(O108="",0,O108)+IF(P108="",0,P108)+IF(Q108="",0,Q108)+IF(R108="",0,R108),1))</f>
        <v/>
      </c>
      <c r="AB108">
        <f>IF(I108="","",ROUND(IF(K108="",0,K108)+IF(L108="",0,L108)+IF(M108="",0,M108)+IF(N108="",0,N108)+IF(O108="",0,O108)+IF(P108="",0,P108)+IF(Q108="",0,Q108)+IF(R108="",0,R108),1))</f>
        <v/>
      </c>
      <c r="AD108">
        <f>IF(A108="","",A108&amp;"-"&amp;TEXT(C108,"yyyymmdd"))</f>
        <v/>
      </c>
    </row>
    <row r="109">
      <c r="B109">
        <f>IFERROR(INDEX(TablaDeportistas[primerApellido],MATCH(A109,TablaDeportistas[ID_Deportista],0))&amp;" "&amp;INDEX(TablaDeportistas[nombres],MATCH(A109,TablaDeportistas[ID_Deportista],0)),"")</f>
        <v/>
      </c>
      <c r="Z109">
        <f>IF(OR(I109="",J109=""),"",ROUND(I109/((J109/100)^2),2))</f>
        <v/>
      </c>
      <c r="AA109">
        <f>IF(I109="","",ROUND(IF(K109="",0,K109)+IF(L109="",0,L109)+IF(O109="",0,O109)+IF(P109="",0,P109)+IF(Q109="",0,Q109)+IF(R109="",0,R109),1))</f>
        <v/>
      </c>
      <c r="AB109">
        <f>IF(I109="","",ROUND(IF(K109="",0,K109)+IF(L109="",0,L109)+IF(M109="",0,M109)+IF(N109="",0,N109)+IF(O109="",0,O109)+IF(P109="",0,P109)+IF(Q109="",0,Q109)+IF(R109="",0,R109),1))</f>
        <v/>
      </c>
      <c r="AD109">
        <f>IF(A109="","",A109&amp;"-"&amp;TEXT(C109,"yyyymmdd"))</f>
        <v/>
      </c>
    </row>
    <row r="110">
      <c r="B110">
        <f>IFERROR(INDEX(TablaDeportistas[primerApellido],MATCH(A110,TablaDeportistas[ID_Deportista],0))&amp;" "&amp;INDEX(TablaDeportistas[nombres],MATCH(A110,TablaDeportistas[ID_Deportista],0)),"")</f>
        <v/>
      </c>
      <c r="Z110">
        <f>IF(OR(I110="",J110=""),"",ROUND(I110/((J110/100)^2),2))</f>
        <v/>
      </c>
      <c r="AA110">
        <f>IF(I110="","",ROUND(IF(K110="",0,K110)+IF(L110="",0,L110)+IF(O110="",0,O110)+IF(P110="",0,P110)+IF(Q110="",0,Q110)+IF(R110="",0,R110),1))</f>
        <v/>
      </c>
      <c r="AB110">
        <f>IF(I110="","",ROUND(IF(K110="",0,K110)+IF(L110="",0,L110)+IF(M110="",0,M110)+IF(N110="",0,N110)+IF(O110="",0,O110)+IF(P110="",0,P110)+IF(Q110="",0,Q110)+IF(R110="",0,R110),1))</f>
        <v/>
      </c>
      <c r="AD110">
        <f>IF(A110="","",A110&amp;"-"&amp;TEXT(C110,"yyyymmdd"))</f>
        <v/>
      </c>
    </row>
    <row r="111">
      <c r="B111">
        <f>IFERROR(INDEX(TablaDeportistas[primerApellido],MATCH(A111,TablaDeportistas[ID_Deportista],0))&amp;" "&amp;INDEX(TablaDeportistas[nombres],MATCH(A111,TablaDeportistas[ID_Deportista],0)),"")</f>
        <v/>
      </c>
      <c r="Z111">
        <f>IF(OR(I111="",J111=""),"",ROUND(I111/((J111/100)^2),2))</f>
        <v/>
      </c>
      <c r="AA111">
        <f>IF(I111="","",ROUND(IF(K111="",0,K111)+IF(L111="",0,L111)+IF(O111="",0,O111)+IF(P111="",0,P111)+IF(Q111="",0,Q111)+IF(R111="",0,R111),1))</f>
        <v/>
      </c>
      <c r="AB111">
        <f>IF(I111="","",ROUND(IF(K111="",0,K111)+IF(L111="",0,L111)+IF(M111="",0,M111)+IF(N111="",0,N111)+IF(O111="",0,O111)+IF(P111="",0,P111)+IF(Q111="",0,Q111)+IF(R111="",0,R111),1))</f>
        <v/>
      </c>
      <c r="AD111">
        <f>IF(A111="","",A111&amp;"-"&amp;TEXT(C111,"yyyymmdd"))</f>
        <v/>
      </c>
    </row>
    <row r="112">
      <c r="B112">
        <f>IFERROR(INDEX(TablaDeportistas[primerApellido],MATCH(A112,TablaDeportistas[ID_Deportista],0))&amp;" "&amp;INDEX(TablaDeportistas[nombres],MATCH(A112,TablaDeportistas[ID_Deportista],0)),"")</f>
        <v/>
      </c>
      <c r="Z112">
        <f>IF(OR(I112="",J112=""),"",ROUND(I112/((J112/100)^2),2))</f>
        <v/>
      </c>
      <c r="AA112">
        <f>IF(I112="","",ROUND(IF(K112="",0,K112)+IF(L112="",0,L112)+IF(O112="",0,O112)+IF(P112="",0,P112)+IF(Q112="",0,Q112)+IF(R112="",0,R112),1))</f>
        <v/>
      </c>
      <c r="AB112">
        <f>IF(I112="","",ROUND(IF(K112="",0,K112)+IF(L112="",0,L112)+IF(M112="",0,M112)+IF(N112="",0,N112)+IF(O112="",0,O112)+IF(P112="",0,P112)+IF(Q112="",0,Q112)+IF(R112="",0,R112),1))</f>
        <v/>
      </c>
      <c r="AD112">
        <f>IF(A112="","",A112&amp;"-"&amp;TEXT(C112,"yyyymmdd"))</f>
        <v/>
      </c>
    </row>
    <row r="113">
      <c r="B113">
        <f>IFERROR(INDEX(TablaDeportistas[primerApellido],MATCH(A113,TablaDeportistas[ID_Deportista],0))&amp;" "&amp;INDEX(TablaDeportistas[nombres],MATCH(A113,TablaDeportistas[ID_Deportista],0)),"")</f>
        <v/>
      </c>
      <c r="Z113">
        <f>IF(OR(I113="",J113=""),"",ROUND(I113/((J113/100)^2),2))</f>
        <v/>
      </c>
      <c r="AA113">
        <f>IF(I113="","",ROUND(IF(K113="",0,K113)+IF(L113="",0,L113)+IF(O113="",0,O113)+IF(P113="",0,P113)+IF(Q113="",0,Q113)+IF(R113="",0,R113),1))</f>
        <v/>
      </c>
      <c r="AB113">
        <f>IF(I113="","",ROUND(IF(K113="",0,K113)+IF(L113="",0,L113)+IF(M113="",0,M113)+IF(N113="",0,N113)+IF(O113="",0,O113)+IF(P113="",0,P113)+IF(Q113="",0,Q113)+IF(R113="",0,R113),1))</f>
        <v/>
      </c>
      <c r="AD113">
        <f>IF(A113="","",A113&amp;"-"&amp;TEXT(C113,"yyyymmdd"))</f>
        <v/>
      </c>
    </row>
    <row r="114">
      <c r="B114">
        <f>IFERROR(INDEX(TablaDeportistas[primerApellido],MATCH(A114,TablaDeportistas[ID_Deportista],0))&amp;" "&amp;INDEX(TablaDeportistas[nombres],MATCH(A114,TablaDeportistas[ID_Deportista],0)),"")</f>
        <v/>
      </c>
      <c r="Z114">
        <f>IF(OR(I114="",J114=""),"",ROUND(I114/((J114/100)^2),2))</f>
        <v/>
      </c>
      <c r="AA114">
        <f>IF(I114="","",ROUND(IF(K114="",0,K114)+IF(L114="",0,L114)+IF(O114="",0,O114)+IF(P114="",0,P114)+IF(Q114="",0,Q114)+IF(R114="",0,R114),1))</f>
        <v/>
      </c>
      <c r="AB114">
        <f>IF(I114="","",ROUND(IF(K114="",0,K114)+IF(L114="",0,L114)+IF(M114="",0,M114)+IF(N114="",0,N114)+IF(O114="",0,O114)+IF(P114="",0,P114)+IF(Q114="",0,Q114)+IF(R114="",0,R114),1))</f>
        <v/>
      </c>
      <c r="AD114">
        <f>IF(A114="","",A114&amp;"-"&amp;TEXT(C114,"yyyymmdd"))</f>
        <v/>
      </c>
    </row>
    <row r="115">
      <c r="B115">
        <f>IFERROR(INDEX(TablaDeportistas[primerApellido],MATCH(A115,TablaDeportistas[ID_Deportista],0))&amp;" "&amp;INDEX(TablaDeportistas[nombres],MATCH(A115,TablaDeportistas[ID_Deportista],0)),"")</f>
        <v/>
      </c>
      <c r="Z115">
        <f>IF(OR(I115="",J115=""),"",ROUND(I115/((J115/100)^2),2))</f>
        <v/>
      </c>
      <c r="AA115">
        <f>IF(I115="","",ROUND(IF(K115="",0,K115)+IF(L115="",0,L115)+IF(O115="",0,O115)+IF(P115="",0,P115)+IF(Q115="",0,Q115)+IF(R115="",0,R115),1))</f>
        <v/>
      </c>
      <c r="AB115">
        <f>IF(I115="","",ROUND(IF(K115="",0,K115)+IF(L115="",0,L115)+IF(M115="",0,M115)+IF(N115="",0,N115)+IF(O115="",0,O115)+IF(P115="",0,P115)+IF(Q115="",0,Q115)+IF(R115="",0,R115),1))</f>
        <v/>
      </c>
      <c r="AD115">
        <f>IF(A115="","",A115&amp;"-"&amp;TEXT(C115,"yyyymmdd"))</f>
        <v/>
      </c>
    </row>
    <row r="116">
      <c r="B116">
        <f>IFERROR(INDEX(TablaDeportistas[primerApellido],MATCH(A116,TablaDeportistas[ID_Deportista],0))&amp;" "&amp;INDEX(TablaDeportistas[nombres],MATCH(A116,TablaDeportistas[ID_Deportista],0)),"")</f>
        <v/>
      </c>
      <c r="Z116">
        <f>IF(OR(I116="",J116=""),"",ROUND(I116/((J116/100)^2),2))</f>
        <v/>
      </c>
      <c r="AA116">
        <f>IF(I116="","",ROUND(IF(K116="",0,K116)+IF(L116="",0,L116)+IF(O116="",0,O116)+IF(P116="",0,P116)+IF(Q116="",0,Q116)+IF(R116="",0,R116),1))</f>
        <v/>
      </c>
      <c r="AB116">
        <f>IF(I116="","",ROUND(IF(K116="",0,K116)+IF(L116="",0,L116)+IF(M116="",0,M116)+IF(N116="",0,N116)+IF(O116="",0,O116)+IF(P116="",0,P116)+IF(Q116="",0,Q116)+IF(R116="",0,R116),1))</f>
        <v/>
      </c>
      <c r="AD116">
        <f>IF(A116="","",A116&amp;"-"&amp;TEXT(C116,"yyyymmdd"))</f>
        <v/>
      </c>
    </row>
    <row r="117">
      <c r="B117">
        <f>IFERROR(INDEX(TablaDeportistas[primerApellido],MATCH(A117,TablaDeportistas[ID_Deportista],0))&amp;" "&amp;INDEX(TablaDeportistas[nombres],MATCH(A117,TablaDeportistas[ID_Deportista],0)),"")</f>
        <v/>
      </c>
      <c r="Z117">
        <f>IF(OR(I117="",J117=""),"",ROUND(I117/((J117/100)^2),2))</f>
        <v/>
      </c>
      <c r="AA117">
        <f>IF(I117="","",ROUND(IF(K117="",0,K117)+IF(L117="",0,L117)+IF(O117="",0,O117)+IF(P117="",0,P117)+IF(Q117="",0,Q117)+IF(R117="",0,R117),1))</f>
        <v/>
      </c>
      <c r="AB117">
        <f>IF(I117="","",ROUND(IF(K117="",0,K117)+IF(L117="",0,L117)+IF(M117="",0,M117)+IF(N117="",0,N117)+IF(O117="",0,O117)+IF(P117="",0,P117)+IF(Q117="",0,Q117)+IF(R117="",0,R117),1))</f>
        <v/>
      </c>
      <c r="AD117">
        <f>IF(A117="","",A117&amp;"-"&amp;TEXT(C117,"yyyymmdd"))</f>
        <v/>
      </c>
    </row>
    <row r="118">
      <c r="B118">
        <f>IFERROR(INDEX(TablaDeportistas[primerApellido],MATCH(A118,TablaDeportistas[ID_Deportista],0))&amp;" "&amp;INDEX(TablaDeportistas[nombres],MATCH(A118,TablaDeportistas[ID_Deportista],0)),"")</f>
        <v/>
      </c>
      <c r="Z118">
        <f>IF(OR(I118="",J118=""),"",ROUND(I118/((J118/100)^2),2))</f>
        <v/>
      </c>
      <c r="AA118">
        <f>IF(I118="","",ROUND(IF(K118="",0,K118)+IF(L118="",0,L118)+IF(O118="",0,O118)+IF(P118="",0,P118)+IF(Q118="",0,Q118)+IF(R118="",0,R118),1))</f>
        <v/>
      </c>
      <c r="AB118">
        <f>IF(I118="","",ROUND(IF(K118="",0,K118)+IF(L118="",0,L118)+IF(M118="",0,M118)+IF(N118="",0,N118)+IF(O118="",0,O118)+IF(P118="",0,P118)+IF(Q118="",0,Q118)+IF(R118="",0,R118),1))</f>
        <v/>
      </c>
      <c r="AD118">
        <f>IF(A118="","",A118&amp;"-"&amp;TEXT(C118,"yyyymmdd"))</f>
        <v/>
      </c>
    </row>
    <row r="119">
      <c r="B119">
        <f>IFERROR(INDEX(TablaDeportistas[primerApellido],MATCH(A119,TablaDeportistas[ID_Deportista],0))&amp;" "&amp;INDEX(TablaDeportistas[nombres],MATCH(A119,TablaDeportistas[ID_Deportista],0)),"")</f>
        <v/>
      </c>
      <c r="Z119">
        <f>IF(OR(I119="",J119=""),"",ROUND(I119/((J119/100)^2),2))</f>
        <v/>
      </c>
      <c r="AA119">
        <f>IF(I119="","",ROUND(IF(K119="",0,K119)+IF(L119="",0,L119)+IF(O119="",0,O119)+IF(P119="",0,P119)+IF(Q119="",0,Q119)+IF(R119="",0,R119),1))</f>
        <v/>
      </c>
      <c r="AB119">
        <f>IF(I119="","",ROUND(IF(K119="",0,K119)+IF(L119="",0,L119)+IF(M119="",0,M119)+IF(N119="",0,N119)+IF(O119="",0,O119)+IF(P119="",0,P119)+IF(Q119="",0,Q119)+IF(R119="",0,R119),1))</f>
        <v/>
      </c>
      <c r="AD119">
        <f>IF(A119="","",A119&amp;"-"&amp;TEXT(C119,"yyyymmdd"))</f>
        <v/>
      </c>
    </row>
    <row r="120">
      <c r="B120">
        <f>IFERROR(INDEX(TablaDeportistas[primerApellido],MATCH(A120,TablaDeportistas[ID_Deportista],0))&amp;" "&amp;INDEX(TablaDeportistas[nombres],MATCH(A120,TablaDeportistas[ID_Deportista],0)),"")</f>
        <v/>
      </c>
      <c r="Z120">
        <f>IF(OR(I120="",J120=""),"",ROUND(I120/((J120/100)^2),2))</f>
        <v/>
      </c>
      <c r="AA120">
        <f>IF(I120="","",ROUND(IF(K120="",0,K120)+IF(L120="",0,L120)+IF(O120="",0,O120)+IF(P120="",0,P120)+IF(Q120="",0,Q120)+IF(R120="",0,R120),1))</f>
        <v/>
      </c>
      <c r="AB120">
        <f>IF(I120="","",ROUND(IF(K120="",0,K120)+IF(L120="",0,L120)+IF(M120="",0,M120)+IF(N120="",0,N120)+IF(O120="",0,O120)+IF(P120="",0,P120)+IF(Q120="",0,Q120)+IF(R120="",0,R120),1))</f>
        <v/>
      </c>
      <c r="AD120">
        <f>IF(A120="","",A120&amp;"-"&amp;TEXT(C120,"yyyymmdd"))</f>
        <v/>
      </c>
    </row>
    <row r="121">
      <c r="B121">
        <f>IFERROR(INDEX(TablaDeportistas[primerApellido],MATCH(A121,TablaDeportistas[ID_Deportista],0))&amp;" "&amp;INDEX(TablaDeportistas[nombres],MATCH(A121,TablaDeportistas[ID_Deportista],0)),"")</f>
        <v/>
      </c>
      <c r="Z121">
        <f>IF(OR(I121="",J121=""),"",ROUND(I121/((J121/100)^2),2))</f>
        <v/>
      </c>
      <c r="AA121">
        <f>IF(I121="","",ROUND(IF(K121="",0,K121)+IF(L121="",0,L121)+IF(O121="",0,O121)+IF(P121="",0,P121)+IF(Q121="",0,Q121)+IF(R121="",0,R121),1))</f>
        <v/>
      </c>
      <c r="AB121">
        <f>IF(I121="","",ROUND(IF(K121="",0,K121)+IF(L121="",0,L121)+IF(M121="",0,M121)+IF(N121="",0,N121)+IF(O121="",0,O121)+IF(P121="",0,P121)+IF(Q121="",0,Q121)+IF(R121="",0,R121),1))</f>
        <v/>
      </c>
      <c r="AD121">
        <f>IF(A121="","",A121&amp;"-"&amp;TEXT(C121,"yyyymmdd"))</f>
        <v/>
      </c>
    </row>
    <row r="122">
      <c r="B122">
        <f>IFERROR(INDEX(TablaDeportistas[primerApellido],MATCH(A122,TablaDeportistas[ID_Deportista],0))&amp;" "&amp;INDEX(TablaDeportistas[nombres],MATCH(A122,TablaDeportistas[ID_Deportista],0)),"")</f>
        <v/>
      </c>
      <c r="Z122">
        <f>IF(OR(I122="",J122=""),"",ROUND(I122/((J122/100)^2),2))</f>
        <v/>
      </c>
      <c r="AA122">
        <f>IF(I122="","",ROUND(IF(K122="",0,K122)+IF(L122="",0,L122)+IF(O122="",0,O122)+IF(P122="",0,P122)+IF(Q122="",0,Q122)+IF(R122="",0,R122),1))</f>
        <v/>
      </c>
      <c r="AB122">
        <f>IF(I122="","",ROUND(IF(K122="",0,K122)+IF(L122="",0,L122)+IF(M122="",0,M122)+IF(N122="",0,N122)+IF(O122="",0,O122)+IF(P122="",0,P122)+IF(Q122="",0,Q122)+IF(R122="",0,R122),1))</f>
        <v/>
      </c>
      <c r="AD122">
        <f>IF(A122="","",A122&amp;"-"&amp;TEXT(C122,"yyyymmdd"))</f>
        <v/>
      </c>
    </row>
    <row r="123">
      <c r="B123">
        <f>IFERROR(INDEX(TablaDeportistas[primerApellido],MATCH(A123,TablaDeportistas[ID_Deportista],0))&amp;" "&amp;INDEX(TablaDeportistas[nombres],MATCH(A123,TablaDeportistas[ID_Deportista],0)),"")</f>
        <v/>
      </c>
      <c r="Z123">
        <f>IF(OR(I123="",J123=""),"",ROUND(I123/((J123/100)^2),2))</f>
        <v/>
      </c>
      <c r="AA123">
        <f>IF(I123="","",ROUND(IF(K123="",0,K123)+IF(L123="",0,L123)+IF(O123="",0,O123)+IF(P123="",0,P123)+IF(Q123="",0,Q123)+IF(R123="",0,R123),1))</f>
        <v/>
      </c>
      <c r="AB123">
        <f>IF(I123="","",ROUND(IF(K123="",0,K123)+IF(L123="",0,L123)+IF(M123="",0,M123)+IF(N123="",0,N123)+IF(O123="",0,O123)+IF(P123="",0,P123)+IF(Q123="",0,Q123)+IF(R123="",0,R123),1))</f>
        <v/>
      </c>
      <c r="AD123">
        <f>IF(A123="","",A123&amp;"-"&amp;TEXT(C123,"yyyymmdd"))</f>
        <v/>
      </c>
    </row>
    <row r="124">
      <c r="B124">
        <f>IFERROR(INDEX(TablaDeportistas[primerApellido],MATCH(A124,TablaDeportistas[ID_Deportista],0))&amp;" "&amp;INDEX(TablaDeportistas[nombres],MATCH(A124,TablaDeportistas[ID_Deportista],0)),"")</f>
        <v/>
      </c>
      <c r="Z124">
        <f>IF(OR(I124="",J124=""),"",ROUND(I124/((J124/100)^2),2))</f>
        <v/>
      </c>
      <c r="AA124">
        <f>IF(I124="","",ROUND(IF(K124="",0,K124)+IF(L124="",0,L124)+IF(O124="",0,O124)+IF(P124="",0,P124)+IF(Q124="",0,Q124)+IF(R124="",0,R124),1))</f>
        <v/>
      </c>
      <c r="AB124">
        <f>IF(I124="","",ROUND(IF(K124="",0,K124)+IF(L124="",0,L124)+IF(M124="",0,M124)+IF(N124="",0,N124)+IF(O124="",0,O124)+IF(P124="",0,P124)+IF(Q124="",0,Q124)+IF(R124="",0,R124),1))</f>
        <v/>
      </c>
      <c r="AD124">
        <f>IF(A124="","",A124&amp;"-"&amp;TEXT(C124,"yyyymmdd"))</f>
        <v/>
      </c>
    </row>
    <row r="125">
      <c r="B125">
        <f>IFERROR(INDEX(TablaDeportistas[primerApellido],MATCH(A125,TablaDeportistas[ID_Deportista],0))&amp;" "&amp;INDEX(TablaDeportistas[nombres],MATCH(A125,TablaDeportistas[ID_Deportista],0)),"")</f>
        <v/>
      </c>
      <c r="Z125">
        <f>IF(OR(I125="",J125=""),"",ROUND(I125/((J125/100)^2),2))</f>
        <v/>
      </c>
      <c r="AA125">
        <f>IF(I125="","",ROUND(IF(K125="",0,K125)+IF(L125="",0,L125)+IF(O125="",0,O125)+IF(P125="",0,P125)+IF(Q125="",0,Q125)+IF(R125="",0,R125),1))</f>
        <v/>
      </c>
      <c r="AB125">
        <f>IF(I125="","",ROUND(IF(K125="",0,K125)+IF(L125="",0,L125)+IF(M125="",0,M125)+IF(N125="",0,N125)+IF(O125="",0,O125)+IF(P125="",0,P125)+IF(Q125="",0,Q125)+IF(R125="",0,R125),1))</f>
        <v/>
      </c>
      <c r="AD125">
        <f>IF(A125="","",A125&amp;"-"&amp;TEXT(C125,"yyyymmdd"))</f>
        <v/>
      </c>
    </row>
    <row r="126">
      <c r="B126">
        <f>IFERROR(INDEX(TablaDeportistas[primerApellido],MATCH(A126,TablaDeportistas[ID_Deportista],0))&amp;" "&amp;INDEX(TablaDeportistas[nombres],MATCH(A126,TablaDeportistas[ID_Deportista],0)),"")</f>
        <v/>
      </c>
      <c r="Z126">
        <f>IF(OR(I126="",J126=""),"",ROUND(I126/((J126/100)^2),2))</f>
        <v/>
      </c>
      <c r="AA126">
        <f>IF(I126="","",ROUND(IF(K126="",0,K126)+IF(L126="",0,L126)+IF(O126="",0,O126)+IF(P126="",0,P126)+IF(Q126="",0,Q126)+IF(R126="",0,R126),1))</f>
        <v/>
      </c>
      <c r="AB126">
        <f>IF(I126="","",ROUND(IF(K126="",0,K126)+IF(L126="",0,L126)+IF(M126="",0,M126)+IF(N126="",0,N126)+IF(O126="",0,O126)+IF(P126="",0,P126)+IF(Q126="",0,Q126)+IF(R126="",0,R126),1))</f>
        <v/>
      </c>
      <c r="AD126">
        <f>IF(A126="","",A126&amp;"-"&amp;TEXT(C126,"yyyymmdd"))</f>
        <v/>
      </c>
    </row>
    <row r="127">
      <c r="B127">
        <f>IFERROR(INDEX(TablaDeportistas[primerApellido],MATCH(A127,TablaDeportistas[ID_Deportista],0))&amp;" "&amp;INDEX(TablaDeportistas[nombres],MATCH(A127,TablaDeportistas[ID_Deportista],0)),"")</f>
        <v/>
      </c>
      <c r="Z127">
        <f>IF(OR(I127="",J127=""),"",ROUND(I127/((J127/100)^2),2))</f>
        <v/>
      </c>
      <c r="AA127">
        <f>IF(I127="","",ROUND(IF(K127="",0,K127)+IF(L127="",0,L127)+IF(O127="",0,O127)+IF(P127="",0,P127)+IF(Q127="",0,Q127)+IF(R127="",0,R127),1))</f>
        <v/>
      </c>
      <c r="AB127">
        <f>IF(I127="","",ROUND(IF(K127="",0,K127)+IF(L127="",0,L127)+IF(M127="",0,M127)+IF(N127="",0,N127)+IF(O127="",0,O127)+IF(P127="",0,P127)+IF(Q127="",0,Q127)+IF(R127="",0,R127),1))</f>
        <v/>
      </c>
      <c r="AD127">
        <f>IF(A127="","",A127&amp;"-"&amp;TEXT(C127,"yyyymmdd"))</f>
        <v/>
      </c>
    </row>
    <row r="128">
      <c r="B128">
        <f>IFERROR(INDEX(TablaDeportistas[primerApellido],MATCH(A128,TablaDeportistas[ID_Deportista],0))&amp;" "&amp;INDEX(TablaDeportistas[nombres],MATCH(A128,TablaDeportistas[ID_Deportista],0)),"")</f>
        <v/>
      </c>
      <c r="Z128">
        <f>IF(OR(I128="",J128=""),"",ROUND(I128/((J128/100)^2),2))</f>
        <v/>
      </c>
      <c r="AA128">
        <f>IF(I128="","",ROUND(IF(K128="",0,K128)+IF(L128="",0,L128)+IF(O128="",0,O128)+IF(P128="",0,P128)+IF(Q128="",0,Q128)+IF(R128="",0,R128),1))</f>
        <v/>
      </c>
      <c r="AB128">
        <f>IF(I128="","",ROUND(IF(K128="",0,K128)+IF(L128="",0,L128)+IF(M128="",0,M128)+IF(N128="",0,N128)+IF(O128="",0,O128)+IF(P128="",0,P128)+IF(Q128="",0,Q128)+IF(R128="",0,R128),1))</f>
        <v/>
      </c>
      <c r="AD128">
        <f>IF(A128="","",A128&amp;"-"&amp;TEXT(C128,"yyyymmdd"))</f>
        <v/>
      </c>
    </row>
    <row r="129">
      <c r="B129">
        <f>IFERROR(INDEX(TablaDeportistas[primerApellido],MATCH(A129,TablaDeportistas[ID_Deportista],0))&amp;" "&amp;INDEX(TablaDeportistas[nombres],MATCH(A129,TablaDeportistas[ID_Deportista],0)),"")</f>
        <v/>
      </c>
      <c r="Z129">
        <f>IF(OR(I129="",J129=""),"",ROUND(I129/((J129/100)^2),2))</f>
        <v/>
      </c>
      <c r="AA129">
        <f>IF(I129="","",ROUND(IF(K129="",0,K129)+IF(L129="",0,L129)+IF(O129="",0,O129)+IF(P129="",0,P129)+IF(Q129="",0,Q129)+IF(R129="",0,R129),1))</f>
        <v/>
      </c>
      <c r="AB129">
        <f>IF(I129="","",ROUND(IF(K129="",0,K129)+IF(L129="",0,L129)+IF(M129="",0,M129)+IF(N129="",0,N129)+IF(O129="",0,O129)+IF(P129="",0,P129)+IF(Q129="",0,Q129)+IF(R129="",0,R129),1))</f>
        <v/>
      </c>
      <c r="AD129">
        <f>IF(A129="","",A129&amp;"-"&amp;TEXT(C129,"yyyymmdd"))</f>
        <v/>
      </c>
    </row>
    <row r="130">
      <c r="B130">
        <f>IFERROR(INDEX(TablaDeportistas[primerApellido],MATCH(A130,TablaDeportistas[ID_Deportista],0))&amp;" "&amp;INDEX(TablaDeportistas[nombres],MATCH(A130,TablaDeportistas[ID_Deportista],0)),"")</f>
        <v/>
      </c>
      <c r="Z130">
        <f>IF(OR(I130="",J130=""),"",ROUND(I130/((J130/100)^2),2))</f>
        <v/>
      </c>
      <c r="AA130">
        <f>IF(I130="","",ROUND(IF(K130="",0,K130)+IF(L130="",0,L130)+IF(O130="",0,O130)+IF(P130="",0,P130)+IF(Q130="",0,Q130)+IF(R130="",0,R130),1))</f>
        <v/>
      </c>
      <c r="AB130">
        <f>IF(I130="","",ROUND(IF(K130="",0,K130)+IF(L130="",0,L130)+IF(M130="",0,M130)+IF(N130="",0,N130)+IF(O130="",0,O130)+IF(P130="",0,P130)+IF(Q130="",0,Q130)+IF(R130="",0,R130),1))</f>
        <v/>
      </c>
      <c r="AD130">
        <f>IF(A130="","",A130&amp;"-"&amp;TEXT(C130,"yyyymmdd"))</f>
        <v/>
      </c>
    </row>
    <row r="131">
      <c r="B131">
        <f>IFERROR(INDEX(TablaDeportistas[primerApellido],MATCH(A131,TablaDeportistas[ID_Deportista],0))&amp;" "&amp;INDEX(TablaDeportistas[nombres],MATCH(A131,TablaDeportistas[ID_Deportista],0)),"")</f>
        <v/>
      </c>
      <c r="Z131">
        <f>IF(OR(I131="",J131=""),"",ROUND(I131/((J131/100)^2),2))</f>
        <v/>
      </c>
      <c r="AA131">
        <f>IF(I131="","",ROUND(IF(K131="",0,K131)+IF(L131="",0,L131)+IF(O131="",0,O131)+IF(P131="",0,P131)+IF(Q131="",0,Q131)+IF(R131="",0,R131),1))</f>
        <v/>
      </c>
      <c r="AB131">
        <f>IF(I131="","",ROUND(IF(K131="",0,K131)+IF(L131="",0,L131)+IF(M131="",0,M131)+IF(N131="",0,N131)+IF(O131="",0,O131)+IF(P131="",0,P131)+IF(Q131="",0,Q131)+IF(R131="",0,R131),1))</f>
        <v/>
      </c>
      <c r="AD131">
        <f>IF(A131="","",A131&amp;"-"&amp;TEXT(C131,"yyyymmdd"))</f>
        <v/>
      </c>
    </row>
    <row r="132">
      <c r="B132">
        <f>IFERROR(INDEX(TablaDeportistas[primerApellido],MATCH(A132,TablaDeportistas[ID_Deportista],0))&amp;" "&amp;INDEX(TablaDeportistas[nombres],MATCH(A132,TablaDeportistas[ID_Deportista],0)),"")</f>
        <v/>
      </c>
      <c r="Z132">
        <f>IF(OR(I132="",J132=""),"",ROUND(I132/((J132/100)^2),2))</f>
        <v/>
      </c>
      <c r="AA132">
        <f>IF(I132="","",ROUND(IF(K132="",0,K132)+IF(L132="",0,L132)+IF(O132="",0,O132)+IF(P132="",0,P132)+IF(Q132="",0,Q132)+IF(R132="",0,R132),1))</f>
        <v/>
      </c>
      <c r="AB132">
        <f>IF(I132="","",ROUND(IF(K132="",0,K132)+IF(L132="",0,L132)+IF(M132="",0,M132)+IF(N132="",0,N132)+IF(O132="",0,O132)+IF(P132="",0,P132)+IF(Q132="",0,Q132)+IF(R132="",0,R132),1))</f>
        <v/>
      </c>
      <c r="AD132">
        <f>IF(A132="","",A132&amp;"-"&amp;TEXT(C132,"yyyymmdd"))</f>
        <v/>
      </c>
    </row>
    <row r="133">
      <c r="B133">
        <f>IFERROR(INDEX(TablaDeportistas[primerApellido],MATCH(A133,TablaDeportistas[ID_Deportista],0))&amp;" "&amp;INDEX(TablaDeportistas[nombres],MATCH(A133,TablaDeportistas[ID_Deportista],0)),"")</f>
        <v/>
      </c>
      <c r="Z133">
        <f>IF(OR(I133="",J133=""),"",ROUND(I133/((J133/100)^2),2))</f>
        <v/>
      </c>
      <c r="AA133">
        <f>IF(I133="","",ROUND(IF(K133="",0,K133)+IF(L133="",0,L133)+IF(O133="",0,O133)+IF(P133="",0,P133)+IF(Q133="",0,Q133)+IF(R133="",0,R133),1))</f>
        <v/>
      </c>
      <c r="AB133">
        <f>IF(I133="","",ROUND(IF(K133="",0,K133)+IF(L133="",0,L133)+IF(M133="",0,M133)+IF(N133="",0,N133)+IF(O133="",0,O133)+IF(P133="",0,P133)+IF(Q133="",0,Q133)+IF(R133="",0,R133),1))</f>
        <v/>
      </c>
      <c r="AD133">
        <f>IF(A133="","",A133&amp;"-"&amp;TEXT(C133,"yyyymmdd"))</f>
        <v/>
      </c>
    </row>
    <row r="134">
      <c r="B134">
        <f>IFERROR(INDEX(TablaDeportistas[primerApellido],MATCH(A134,TablaDeportistas[ID_Deportista],0))&amp;" "&amp;INDEX(TablaDeportistas[nombres],MATCH(A134,TablaDeportistas[ID_Deportista],0)),"")</f>
        <v/>
      </c>
      <c r="Z134">
        <f>IF(OR(I134="",J134=""),"",ROUND(I134/((J134/100)^2),2))</f>
        <v/>
      </c>
      <c r="AA134">
        <f>IF(I134="","",ROUND(IF(K134="",0,K134)+IF(L134="",0,L134)+IF(O134="",0,O134)+IF(P134="",0,P134)+IF(Q134="",0,Q134)+IF(R134="",0,R134),1))</f>
        <v/>
      </c>
      <c r="AB134">
        <f>IF(I134="","",ROUND(IF(K134="",0,K134)+IF(L134="",0,L134)+IF(M134="",0,M134)+IF(N134="",0,N134)+IF(O134="",0,O134)+IF(P134="",0,P134)+IF(Q134="",0,Q134)+IF(R134="",0,R134),1))</f>
        <v/>
      </c>
      <c r="AD134">
        <f>IF(A134="","",A134&amp;"-"&amp;TEXT(C134,"yyyymmdd"))</f>
        <v/>
      </c>
    </row>
    <row r="135">
      <c r="B135">
        <f>IFERROR(INDEX(TablaDeportistas[primerApellido],MATCH(A135,TablaDeportistas[ID_Deportista],0))&amp;" "&amp;INDEX(TablaDeportistas[nombres],MATCH(A135,TablaDeportistas[ID_Deportista],0)),"")</f>
        <v/>
      </c>
      <c r="Z135">
        <f>IF(OR(I135="",J135=""),"",ROUND(I135/((J135/100)^2),2))</f>
        <v/>
      </c>
      <c r="AA135">
        <f>IF(I135="","",ROUND(IF(K135="",0,K135)+IF(L135="",0,L135)+IF(O135="",0,O135)+IF(P135="",0,P135)+IF(Q135="",0,Q135)+IF(R135="",0,R135),1))</f>
        <v/>
      </c>
      <c r="AB135">
        <f>IF(I135="","",ROUND(IF(K135="",0,K135)+IF(L135="",0,L135)+IF(M135="",0,M135)+IF(N135="",0,N135)+IF(O135="",0,O135)+IF(P135="",0,P135)+IF(Q135="",0,Q135)+IF(R135="",0,R135),1))</f>
        <v/>
      </c>
      <c r="AD135">
        <f>IF(A135="","",A135&amp;"-"&amp;TEXT(C135,"yyyymmdd"))</f>
        <v/>
      </c>
    </row>
    <row r="136">
      <c r="B136">
        <f>IFERROR(INDEX(TablaDeportistas[primerApellido],MATCH(A136,TablaDeportistas[ID_Deportista],0))&amp;" "&amp;INDEX(TablaDeportistas[nombres],MATCH(A136,TablaDeportistas[ID_Deportista],0)),"")</f>
        <v/>
      </c>
      <c r="Z136">
        <f>IF(OR(I136="",J136=""),"",ROUND(I136/((J136/100)^2),2))</f>
        <v/>
      </c>
      <c r="AA136">
        <f>IF(I136="","",ROUND(IF(K136="",0,K136)+IF(L136="",0,L136)+IF(O136="",0,O136)+IF(P136="",0,P136)+IF(Q136="",0,Q136)+IF(R136="",0,R136),1))</f>
        <v/>
      </c>
      <c r="AB136">
        <f>IF(I136="","",ROUND(IF(K136="",0,K136)+IF(L136="",0,L136)+IF(M136="",0,M136)+IF(N136="",0,N136)+IF(O136="",0,O136)+IF(P136="",0,P136)+IF(Q136="",0,Q136)+IF(R136="",0,R136),1))</f>
        <v/>
      </c>
      <c r="AD136">
        <f>IF(A136="","",A136&amp;"-"&amp;TEXT(C136,"yyyymmdd"))</f>
        <v/>
      </c>
    </row>
    <row r="137">
      <c r="B137">
        <f>IFERROR(INDEX(TablaDeportistas[primerApellido],MATCH(A137,TablaDeportistas[ID_Deportista],0))&amp;" "&amp;INDEX(TablaDeportistas[nombres],MATCH(A137,TablaDeportistas[ID_Deportista],0)),"")</f>
        <v/>
      </c>
      <c r="Z137">
        <f>IF(OR(I137="",J137=""),"",ROUND(I137/((J137/100)^2),2))</f>
        <v/>
      </c>
      <c r="AA137">
        <f>IF(I137="","",ROUND(IF(K137="",0,K137)+IF(L137="",0,L137)+IF(O137="",0,O137)+IF(P137="",0,P137)+IF(Q137="",0,Q137)+IF(R137="",0,R137),1))</f>
        <v/>
      </c>
      <c r="AB137">
        <f>IF(I137="","",ROUND(IF(K137="",0,K137)+IF(L137="",0,L137)+IF(M137="",0,M137)+IF(N137="",0,N137)+IF(O137="",0,O137)+IF(P137="",0,P137)+IF(Q137="",0,Q137)+IF(R137="",0,R137),1))</f>
        <v/>
      </c>
      <c r="AD137">
        <f>IF(A137="","",A137&amp;"-"&amp;TEXT(C137,"yyyymmdd"))</f>
        <v/>
      </c>
    </row>
    <row r="138">
      <c r="B138">
        <f>IFERROR(INDEX(TablaDeportistas[primerApellido],MATCH(A138,TablaDeportistas[ID_Deportista],0))&amp;" "&amp;INDEX(TablaDeportistas[nombres],MATCH(A138,TablaDeportistas[ID_Deportista],0)),"")</f>
        <v/>
      </c>
      <c r="Z138">
        <f>IF(OR(I138="",J138=""),"",ROUND(I138/((J138/100)^2),2))</f>
        <v/>
      </c>
      <c r="AA138">
        <f>IF(I138="","",ROUND(IF(K138="",0,K138)+IF(L138="",0,L138)+IF(O138="",0,O138)+IF(P138="",0,P138)+IF(Q138="",0,Q138)+IF(R138="",0,R138),1))</f>
        <v/>
      </c>
      <c r="AB138">
        <f>IF(I138="","",ROUND(IF(K138="",0,K138)+IF(L138="",0,L138)+IF(M138="",0,M138)+IF(N138="",0,N138)+IF(O138="",0,O138)+IF(P138="",0,P138)+IF(Q138="",0,Q138)+IF(R138="",0,R138),1))</f>
        <v/>
      </c>
      <c r="AD138">
        <f>IF(A138="","",A138&amp;"-"&amp;TEXT(C138,"yyyymmdd"))</f>
        <v/>
      </c>
    </row>
    <row r="139">
      <c r="B139">
        <f>IFERROR(INDEX(TablaDeportistas[primerApellido],MATCH(A139,TablaDeportistas[ID_Deportista],0))&amp;" "&amp;INDEX(TablaDeportistas[nombres],MATCH(A139,TablaDeportistas[ID_Deportista],0)),"")</f>
        <v/>
      </c>
      <c r="Z139">
        <f>IF(OR(I139="",J139=""),"",ROUND(I139/((J139/100)^2),2))</f>
        <v/>
      </c>
      <c r="AA139">
        <f>IF(I139="","",ROUND(IF(K139="",0,K139)+IF(L139="",0,L139)+IF(O139="",0,O139)+IF(P139="",0,P139)+IF(Q139="",0,Q139)+IF(R139="",0,R139),1))</f>
        <v/>
      </c>
      <c r="AB139">
        <f>IF(I139="","",ROUND(IF(K139="",0,K139)+IF(L139="",0,L139)+IF(M139="",0,M139)+IF(N139="",0,N139)+IF(O139="",0,O139)+IF(P139="",0,P139)+IF(Q139="",0,Q139)+IF(R139="",0,R139),1))</f>
        <v/>
      </c>
      <c r="AD139">
        <f>IF(A139="","",A139&amp;"-"&amp;TEXT(C139,"yyyymmdd"))</f>
        <v/>
      </c>
    </row>
    <row r="140">
      <c r="B140">
        <f>IFERROR(INDEX(TablaDeportistas[primerApellido],MATCH(A140,TablaDeportistas[ID_Deportista],0))&amp;" "&amp;INDEX(TablaDeportistas[nombres],MATCH(A140,TablaDeportistas[ID_Deportista],0)),"")</f>
        <v/>
      </c>
      <c r="Z140">
        <f>IF(OR(I140="",J140=""),"",ROUND(I140/((J140/100)^2),2))</f>
        <v/>
      </c>
      <c r="AA140">
        <f>IF(I140="","",ROUND(IF(K140="",0,K140)+IF(L140="",0,L140)+IF(O140="",0,O140)+IF(P140="",0,P140)+IF(Q140="",0,Q140)+IF(R140="",0,R140),1))</f>
        <v/>
      </c>
      <c r="AB140">
        <f>IF(I140="","",ROUND(IF(K140="",0,K140)+IF(L140="",0,L140)+IF(M140="",0,M140)+IF(N140="",0,N140)+IF(O140="",0,O140)+IF(P140="",0,P140)+IF(Q140="",0,Q140)+IF(R140="",0,R140),1))</f>
        <v/>
      </c>
      <c r="AD140">
        <f>IF(A140="","",A140&amp;"-"&amp;TEXT(C140,"yyyymmdd"))</f>
        <v/>
      </c>
    </row>
    <row r="141">
      <c r="B141">
        <f>IFERROR(INDEX(TablaDeportistas[primerApellido],MATCH(A141,TablaDeportistas[ID_Deportista],0))&amp;" "&amp;INDEX(TablaDeportistas[nombres],MATCH(A141,TablaDeportistas[ID_Deportista],0)),"")</f>
        <v/>
      </c>
      <c r="Z141">
        <f>IF(OR(I141="",J141=""),"",ROUND(I141/((J141/100)^2),2))</f>
        <v/>
      </c>
      <c r="AA141">
        <f>IF(I141="","",ROUND(IF(K141="",0,K141)+IF(L141="",0,L141)+IF(O141="",0,O141)+IF(P141="",0,P141)+IF(Q141="",0,Q141)+IF(R141="",0,R141),1))</f>
        <v/>
      </c>
      <c r="AB141">
        <f>IF(I141="","",ROUND(IF(K141="",0,K141)+IF(L141="",0,L141)+IF(M141="",0,M141)+IF(N141="",0,N141)+IF(O141="",0,O141)+IF(P141="",0,P141)+IF(Q141="",0,Q141)+IF(R141="",0,R141),1))</f>
        <v/>
      </c>
      <c r="AD141">
        <f>IF(A141="","",A141&amp;"-"&amp;TEXT(C141,"yyyymmdd"))</f>
        <v/>
      </c>
    </row>
    <row r="142">
      <c r="B142">
        <f>IFERROR(INDEX(TablaDeportistas[primerApellido],MATCH(A142,TablaDeportistas[ID_Deportista],0))&amp;" "&amp;INDEX(TablaDeportistas[nombres],MATCH(A142,TablaDeportistas[ID_Deportista],0)),"")</f>
        <v/>
      </c>
      <c r="Z142">
        <f>IF(OR(I142="",J142=""),"",ROUND(I142/((J142/100)^2),2))</f>
        <v/>
      </c>
      <c r="AA142">
        <f>IF(I142="","",ROUND(IF(K142="",0,K142)+IF(L142="",0,L142)+IF(O142="",0,O142)+IF(P142="",0,P142)+IF(Q142="",0,Q142)+IF(R142="",0,R142),1))</f>
        <v/>
      </c>
      <c r="AB142">
        <f>IF(I142="","",ROUND(IF(K142="",0,K142)+IF(L142="",0,L142)+IF(M142="",0,M142)+IF(N142="",0,N142)+IF(O142="",0,O142)+IF(P142="",0,P142)+IF(Q142="",0,Q142)+IF(R142="",0,R142),1))</f>
        <v/>
      </c>
      <c r="AD142">
        <f>IF(A142="","",A142&amp;"-"&amp;TEXT(C142,"yyyymmdd"))</f>
        <v/>
      </c>
    </row>
    <row r="143">
      <c r="B143">
        <f>IFERROR(INDEX(TablaDeportistas[primerApellido],MATCH(A143,TablaDeportistas[ID_Deportista],0))&amp;" "&amp;INDEX(TablaDeportistas[nombres],MATCH(A143,TablaDeportistas[ID_Deportista],0)),"")</f>
        <v/>
      </c>
      <c r="Z143">
        <f>IF(OR(I143="",J143=""),"",ROUND(I143/((J143/100)^2),2))</f>
        <v/>
      </c>
      <c r="AA143">
        <f>IF(I143="","",ROUND(IF(K143="",0,K143)+IF(L143="",0,L143)+IF(O143="",0,O143)+IF(P143="",0,P143)+IF(Q143="",0,Q143)+IF(R143="",0,R143),1))</f>
        <v/>
      </c>
      <c r="AB143">
        <f>IF(I143="","",ROUND(IF(K143="",0,K143)+IF(L143="",0,L143)+IF(M143="",0,M143)+IF(N143="",0,N143)+IF(O143="",0,O143)+IF(P143="",0,P143)+IF(Q143="",0,Q143)+IF(R143="",0,R143),1))</f>
        <v/>
      </c>
      <c r="AD143">
        <f>IF(A143="","",A143&amp;"-"&amp;TEXT(C143,"yyyymmdd"))</f>
        <v/>
      </c>
    </row>
    <row r="144">
      <c r="B144">
        <f>IFERROR(INDEX(TablaDeportistas[primerApellido],MATCH(A144,TablaDeportistas[ID_Deportista],0))&amp;" "&amp;INDEX(TablaDeportistas[nombres],MATCH(A144,TablaDeportistas[ID_Deportista],0)),"")</f>
        <v/>
      </c>
      <c r="Z144">
        <f>IF(OR(I144="",J144=""),"",ROUND(I144/((J144/100)^2),2))</f>
        <v/>
      </c>
      <c r="AA144">
        <f>IF(I144="","",ROUND(IF(K144="",0,K144)+IF(L144="",0,L144)+IF(O144="",0,O144)+IF(P144="",0,P144)+IF(Q144="",0,Q144)+IF(R144="",0,R144),1))</f>
        <v/>
      </c>
      <c r="AB144">
        <f>IF(I144="","",ROUND(IF(K144="",0,K144)+IF(L144="",0,L144)+IF(M144="",0,M144)+IF(N144="",0,N144)+IF(O144="",0,O144)+IF(P144="",0,P144)+IF(Q144="",0,Q144)+IF(R144="",0,R144),1))</f>
        <v/>
      </c>
      <c r="AD144">
        <f>IF(A144="","",A144&amp;"-"&amp;TEXT(C144,"yyyymmdd"))</f>
        <v/>
      </c>
    </row>
    <row r="145">
      <c r="B145">
        <f>IFERROR(INDEX(TablaDeportistas[primerApellido],MATCH(A145,TablaDeportistas[ID_Deportista],0))&amp;" "&amp;INDEX(TablaDeportistas[nombres],MATCH(A145,TablaDeportistas[ID_Deportista],0)),"")</f>
        <v/>
      </c>
      <c r="Z145">
        <f>IF(OR(I145="",J145=""),"",ROUND(I145/((J145/100)^2),2))</f>
        <v/>
      </c>
      <c r="AA145">
        <f>IF(I145="","",ROUND(IF(K145="",0,K145)+IF(L145="",0,L145)+IF(O145="",0,O145)+IF(P145="",0,P145)+IF(Q145="",0,Q145)+IF(R145="",0,R145),1))</f>
        <v/>
      </c>
      <c r="AB145">
        <f>IF(I145="","",ROUND(IF(K145="",0,K145)+IF(L145="",0,L145)+IF(M145="",0,M145)+IF(N145="",0,N145)+IF(O145="",0,O145)+IF(P145="",0,P145)+IF(Q145="",0,Q145)+IF(R145="",0,R145),1))</f>
        <v/>
      </c>
      <c r="AD145">
        <f>IF(A145="","",A145&amp;"-"&amp;TEXT(C145,"yyyymmdd"))</f>
        <v/>
      </c>
    </row>
    <row r="146">
      <c r="B146">
        <f>IFERROR(INDEX(TablaDeportistas[primerApellido],MATCH(A146,TablaDeportistas[ID_Deportista],0))&amp;" "&amp;INDEX(TablaDeportistas[nombres],MATCH(A146,TablaDeportistas[ID_Deportista],0)),"")</f>
        <v/>
      </c>
      <c r="Z146">
        <f>IF(OR(I146="",J146=""),"",ROUND(I146/((J146/100)^2),2))</f>
        <v/>
      </c>
      <c r="AA146">
        <f>IF(I146="","",ROUND(IF(K146="",0,K146)+IF(L146="",0,L146)+IF(O146="",0,O146)+IF(P146="",0,P146)+IF(Q146="",0,Q146)+IF(R146="",0,R146),1))</f>
        <v/>
      </c>
      <c r="AB146">
        <f>IF(I146="","",ROUND(IF(K146="",0,K146)+IF(L146="",0,L146)+IF(M146="",0,M146)+IF(N146="",0,N146)+IF(O146="",0,O146)+IF(P146="",0,P146)+IF(Q146="",0,Q146)+IF(R146="",0,R146),1))</f>
        <v/>
      </c>
      <c r="AD146">
        <f>IF(A146="","",A146&amp;"-"&amp;TEXT(C146,"yyyymmdd"))</f>
        <v/>
      </c>
    </row>
    <row r="147">
      <c r="B147">
        <f>IFERROR(INDEX(TablaDeportistas[primerApellido],MATCH(A147,TablaDeportistas[ID_Deportista],0))&amp;" "&amp;INDEX(TablaDeportistas[nombres],MATCH(A147,TablaDeportistas[ID_Deportista],0)),"")</f>
        <v/>
      </c>
      <c r="Z147">
        <f>IF(OR(I147="",J147=""),"",ROUND(I147/((J147/100)^2),2))</f>
        <v/>
      </c>
      <c r="AA147">
        <f>IF(I147="","",ROUND(IF(K147="",0,K147)+IF(L147="",0,L147)+IF(O147="",0,O147)+IF(P147="",0,P147)+IF(Q147="",0,Q147)+IF(R147="",0,R147),1))</f>
        <v/>
      </c>
      <c r="AB147">
        <f>IF(I147="","",ROUND(IF(K147="",0,K147)+IF(L147="",0,L147)+IF(M147="",0,M147)+IF(N147="",0,N147)+IF(O147="",0,O147)+IF(P147="",0,P147)+IF(Q147="",0,Q147)+IF(R147="",0,R147),1))</f>
        <v/>
      </c>
      <c r="AD147">
        <f>IF(A147="","",A147&amp;"-"&amp;TEXT(C147,"yyyymmdd"))</f>
        <v/>
      </c>
    </row>
    <row r="148">
      <c r="B148">
        <f>IFERROR(INDEX(TablaDeportistas[primerApellido],MATCH(A148,TablaDeportistas[ID_Deportista],0))&amp;" "&amp;INDEX(TablaDeportistas[nombres],MATCH(A148,TablaDeportistas[ID_Deportista],0)),"")</f>
        <v/>
      </c>
      <c r="Z148">
        <f>IF(OR(I148="",J148=""),"",ROUND(I148/((J148/100)^2),2))</f>
        <v/>
      </c>
      <c r="AA148">
        <f>IF(I148="","",ROUND(IF(K148="",0,K148)+IF(L148="",0,L148)+IF(O148="",0,O148)+IF(P148="",0,P148)+IF(Q148="",0,Q148)+IF(R148="",0,R148),1))</f>
        <v/>
      </c>
      <c r="AB148">
        <f>IF(I148="","",ROUND(IF(K148="",0,K148)+IF(L148="",0,L148)+IF(M148="",0,M148)+IF(N148="",0,N148)+IF(O148="",0,O148)+IF(P148="",0,P148)+IF(Q148="",0,Q148)+IF(R148="",0,R148),1))</f>
        <v/>
      </c>
      <c r="AD148">
        <f>IF(A148="","",A148&amp;"-"&amp;TEXT(C148,"yyyymmdd"))</f>
        <v/>
      </c>
    </row>
    <row r="149">
      <c r="B149">
        <f>IFERROR(INDEX(TablaDeportistas[primerApellido],MATCH(A149,TablaDeportistas[ID_Deportista],0))&amp;" "&amp;INDEX(TablaDeportistas[nombres],MATCH(A149,TablaDeportistas[ID_Deportista],0)),"")</f>
        <v/>
      </c>
      <c r="Z149">
        <f>IF(OR(I149="",J149=""),"",ROUND(I149/((J149/100)^2),2))</f>
        <v/>
      </c>
      <c r="AA149">
        <f>IF(I149="","",ROUND(IF(K149="",0,K149)+IF(L149="",0,L149)+IF(O149="",0,O149)+IF(P149="",0,P149)+IF(Q149="",0,Q149)+IF(R149="",0,R149),1))</f>
        <v/>
      </c>
      <c r="AB149">
        <f>IF(I149="","",ROUND(IF(K149="",0,K149)+IF(L149="",0,L149)+IF(M149="",0,M149)+IF(N149="",0,N149)+IF(O149="",0,O149)+IF(P149="",0,P149)+IF(Q149="",0,Q149)+IF(R149="",0,R149),1))</f>
        <v/>
      </c>
      <c r="AD149">
        <f>IF(A149="","",A149&amp;"-"&amp;TEXT(C149,"yyyymmdd"))</f>
        <v/>
      </c>
    </row>
    <row r="150">
      <c r="B150">
        <f>IFERROR(INDEX(TablaDeportistas[primerApellido],MATCH(A150,TablaDeportistas[ID_Deportista],0))&amp;" "&amp;INDEX(TablaDeportistas[nombres],MATCH(A150,TablaDeportistas[ID_Deportista],0)),"")</f>
        <v/>
      </c>
      <c r="Z150">
        <f>IF(OR(I150="",J150=""),"",ROUND(I150/((J150/100)^2),2))</f>
        <v/>
      </c>
      <c r="AA150">
        <f>IF(I150="","",ROUND(IF(K150="",0,K150)+IF(L150="",0,L150)+IF(O150="",0,O150)+IF(P150="",0,P150)+IF(Q150="",0,Q150)+IF(R150="",0,R150),1))</f>
        <v/>
      </c>
      <c r="AB150">
        <f>IF(I150="","",ROUND(IF(K150="",0,K150)+IF(L150="",0,L150)+IF(M150="",0,M150)+IF(N150="",0,N150)+IF(O150="",0,O150)+IF(P150="",0,P150)+IF(Q150="",0,Q150)+IF(R150="",0,R150),1))</f>
        <v/>
      </c>
      <c r="AD150">
        <f>IF(A150="","",A150&amp;"-"&amp;TEXT(C150,"yyyymmdd"))</f>
        <v/>
      </c>
    </row>
    <row r="151">
      <c r="B151">
        <f>IFERROR(INDEX(TablaDeportistas[primerApellido],MATCH(A151,TablaDeportistas[ID_Deportista],0))&amp;" "&amp;INDEX(TablaDeportistas[nombres],MATCH(A151,TablaDeportistas[ID_Deportista],0)),"")</f>
        <v/>
      </c>
      <c r="Z151">
        <f>IF(OR(I151="",J151=""),"",ROUND(I151/((J151/100)^2),2))</f>
        <v/>
      </c>
      <c r="AA151">
        <f>IF(I151="","",ROUND(IF(K151="",0,K151)+IF(L151="",0,L151)+IF(O151="",0,O151)+IF(P151="",0,P151)+IF(Q151="",0,Q151)+IF(R151="",0,R151),1))</f>
        <v/>
      </c>
      <c r="AB151">
        <f>IF(I151="","",ROUND(IF(K151="",0,K151)+IF(L151="",0,L151)+IF(M151="",0,M151)+IF(N151="",0,N151)+IF(O151="",0,O151)+IF(P151="",0,P151)+IF(Q151="",0,Q151)+IF(R151="",0,R151),1))</f>
        <v/>
      </c>
      <c r="AD151">
        <f>IF(A151="","",A151&amp;"-"&amp;TEXT(C151,"yyyymmdd"))</f>
        <v/>
      </c>
    </row>
    <row r="152">
      <c r="B152">
        <f>IFERROR(INDEX(TablaDeportistas[primerApellido],MATCH(A152,TablaDeportistas[ID_Deportista],0))&amp;" "&amp;INDEX(TablaDeportistas[nombres],MATCH(A152,TablaDeportistas[ID_Deportista],0)),"")</f>
        <v/>
      </c>
      <c r="Z152">
        <f>IF(OR(I152="",J152=""),"",ROUND(I152/((J152/100)^2),2))</f>
        <v/>
      </c>
      <c r="AA152">
        <f>IF(I152="","",ROUND(IF(K152="",0,K152)+IF(L152="",0,L152)+IF(O152="",0,O152)+IF(P152="",0,P152)+IF(Q152="",0,Q152)+IF(R152="",0,R152),1))</f>
        <v/>
      </c>
      <c r="AB152">
        <f>IF(I152="","",ROUND(IF(K152="",0,K152)+IF(L152="",0,L152)+IF(M152="",0,M152)+IF(N152="",0,N152)+IF(O152="",0,O152)+IF(P152="",0,P152)+IF(Q152="",0,Q152)+IF(R152="",0,R152),1))</f>
        <v/>
      </c>
      <c r="AD152">
        <f>IF(A152="","",A152&amp;"-"&amp;TEXT(C152,"yyyymmdd"))</f>
        <v/>
      </c>
    </row>
    <row r="153">
      <c r="B153">
        <f>IFERROR(INDEX(TablaDeportistas[primerApellido],MATCH(A153,TablaDeportistas[ID_Deportista],0))&amp;" "&amp;INDEX(TablaDeportistas[nombres],MATCH(A153,TablaDeportistas[ID_Deportista],0)),"")</f>
        <v/>
      </c>
      <c r="Z153">
        <f>IF(OR(I153="",J153=""),"",ROUND(I153/((J153/100)^2),2))</f>
        <v/>
      </c>
      <c r="AA153">
        <f>IF(I153="","",ROUND(IF(K153="",0,K153)+IF(L153="",0,L153)+IF(O153="",0,O153)+IF(P153="",0,P153)+IF(Q153="",0,Q153)+IF(R153="",0,R153),1))</f>
        <v/>
      </c>
      <c r="AB153">
        <f>IF(I153="","",ROUND(IF(K153="",0,K153)+IF(L153="",0,L153)+IF(M153="",0,M153)+IF(N153="",0,N153)+IF(O153="",0,O153)+IF(P153="",0,P153)+IF(Q153="",0,Q153)+IF(R153="",0,R153),1))</f>
        <v/>
      </c>
      <c r="AD153">
        <f>IF(A153="","",A153&amp;"-"&amp;TEXT(C153,"yyyymmdd"))</f>
        <v/>
      </c>
    </row>
    <row r="154">
      <c r="B154">
        <f>IFERROR(INDEX(TablaDeportistas[primerApellido],MATCH(A154,TablaDeportistas[ID_Deportista],0))&amp;" "&amp;INDEX(TablaDeportistas[nombres],MATCH(A154,TablaDeportistas[ID_Deportista],0)),"")</f>
        <v/>
      </c>
      <c r="Z154">
        <f>IF(OR(I154="",J154=""),"",ROUND(I154/((J154/100)^2),2))</f>
        <v/>
      </c>
      <c r="AA154">
        <f>IF(I154="","",ROUND(IF(K154="",0,K154)+IF(L154="",0,L154)+IF(O154="",0,O154)+IF(P154="",0,P154)+IF(Q154="",0,Q154)+IF(R154="",0,R154),1))</f>
        <v/>
      </c>
      <c r="AB154">
        <f>IF(I154="","",ROUND(IF(K154="",0,K154)+IF(L154="",0,L154)+IF(M154="",0,M154)+IF(N154="",0,N154)+IF(O154="",0,O154)+IF(P154="",0,P154)+IF(Q154="",0,Q154)+IF(R154="",0,R154),1))</f>
        <v/>
      </c>
      <c r="AD154">
        <f>IF(A154="","",A154&amp;"-"&amp;TEXT(C154,"yyyymmdd"))</f>
        <v/>
      </c>
    </row>
    <row r="155">
      <c r="B155">
        <f>IFERROR(INDEX(TablaDeportistas[primerApellido],MATCH(A155,TablaDeportistas[ID_Deportista],0))&amp;" "&amp;INDEX(TablaDeportistas[nombres],MATCH(A155,TablaDeportistas[ID_Deportista],0)),"")</f>
        <v/>
      </c>
      <c r="Z155">
        <f>IF(OR(I155="",J155=""),"",ROUND(I155/((J155/100)^2),2))</f>
        <v/>
      </c>
      <c r="AA155">
        <f>IF(I155="","",ROUND(IF(K155="",0,K155)+IF(L155="",0,L155)+IF(O155="",0,O155)+IF(P155="",0,P155)+IF(Q155="",0,Q155)+IF(R155="",0,R155),1))</f>
        <v/>
      </c>
      <c r="AB155">
        <f>IF(I155="","",ROUND(IF(K155="",0,K155)+IF(L155="",0,L155)+IF(M155="",0,M155)+IF(N155="",0,N155)+IF(O155="",0,O155)+IF(P155="",0,P155)+IF(Q155="",0,Q155)+IF(R155="",0,R155),1))</f>
        <v/>
      </c>
      <c r="AD155">
        <f>IF(A155="","",A155&amp;"-"&amp;TEXT(C155,"yyyymmdd"))</f>
        <v/>
      </c>
    </row>
    <row r="156">
      <c r="B156">
        <f>IFERROR(INDEX(TablaDeportistas[primerApellido],MATCH(A156,TablaDeportistas[ID_Deportista],0))&amp;" "&amp;INDEX(TablaDeportistas[nombres],MATCH(A156,TablaDeportistas[ID_Deportista],0)),"")</f>
        <v/>
      </c>
      <c r="Z156">
        <f>IF(OR(I156="",J156=""),"",ROUND(I156/((J156/100)^2),2))</f>
        <v/>
      </c>
      <c r="AA156">
        <f>IF(I156="","",ROUND(IF(K156="",0,K156)+IF(L156="",0,L156)+IF(O156="",0,O156)+IF(P156="",0,P156)+IF(Q156="",0,Q156)+IF(R156="",0,R156),1))</f>
        <v/>
      </c>
      <c r="AB156">
        <f>IF(I156="","",ROUND(IF(K156="",0,K156)+IF(L156="",0,L156)+IF(M156="",0,M156)+IF(N156="",0,N156)+IF(O156="",0,O156)+IF(P156="",0,P156)+IF(Q156="",0,Q156)+IF(R156="",0,R156),1))</f>
        <v/>
      </c>
      <c r="AD156">
        <f>IF(A156="","",A156&amp;"-"&amp;TEXT(C156,"yyyymmdd"))</f>
        <v/>
      </c>
    </row>
    <row r="157">
      <c r="B157">
        <f>IFERROR(INDEX(TablaDeportistas[primerApellido],MATCH(A157,TablaDeportistas[ID_Deportista],0))&amp;" "&amp;INDEX(TablaDeportistas[nombres],MATCH(A157,TablaDeportistas[ID_Deportista],0)),"")</f>
        <v/>
      </c>
      <c r="Z157">
        <f>IF(OR(I157="",J157=""),"",ROUND(I157/((J157/100)^2),2))</f>
        <v/>
      </c>
      <c r="AA157">
        <f>IF(I157="","",ROUND(IF(K157="",0,K157)+IF(L157="",0,L157)+IF(O157="",0,O157)+IF(P157="",0,P157)+IF(Q157="",0,Q157)+IF(R157="",0,R157),1))</f>
        <v/>
      </c>
      <c r="AB157">
        <f>IF(I157="","",ROUND(IF(K157="",0,K157)+IF(L157="",0,L157)+IF(M157="",0,M157)+IF(N157="",0,N157)+IF(O157="",0,O157)+IF(P157="",0,P157)+IF(Q157="",0,Q157)+IF(R157="",0,R157),1))</f>
        <v/>
      </c>
      <c r="AD157">
        <f>IF(A157="","",A157&amp;"-"&amp;TEXT(C157,"yyyymmdd"))</f>
        <v/>
      </c>
    </row>
    <row r="158">
      <c r="B158">
        <f>IFERROR(INDEX(TablaDeportistas[primerApellido],MATCH(A158,TablaDeportistas[ID_Deportista],0))&amp;" "&amp;INDEX(TablaDeportistas[nombres],MATCH(A158,TablaDeportistas[ID_Deportista],0)),"")</f>
        <v/>
      </c>
      <c r="Z158">
        <f>IF(OR(I158="",J158=""),"",ROUND(I158/((J158/100)^2),2))</f>
        <v/>
      </c>
      <c r="AA158">
        <f>IF(I158="","",ROUND(IF(K158="",0,K158)+IF(L158="",0,L158)+IF(O158="",0,O158)+IF(P158="",0,P158)+IF(Q158="",0,Q158)+IF(R158="",0,R158),1))</f>
        <v/>
      </c>
      <c r="AB158">
        <f>IF(I158="","",ROUND(IF(K158="",0,K158)+IF(L158="",0,L158)+IF(M158="",0,M158)+IF(N158="",0,N158)+IF(O158="",0,O158)+IF(P158="",0,P158)+IF(Q158="",0,Q158)+IF(R158="",0,R158),1))</f>
        <v/>
      </c>
      <c r="AD158">
        <f>IF(A158="","",A158&amp;"-"&amp;TEXT(C158,"yyyymmdd"))</f>
        <v/>
      </c>
    </row>
    <row r="159">
      <c r="B159">
        <f>IFERROR(INDEX(TablaDeportistas[primerApellido],MATCH(A159,TablaDeportistas[ID_Deportista],0))&amp;" "&amp;INDEX(TablaDeportistas[nombres],MATCH(A159,TablaDeportistas[ID_Deportista],0)),"")</f>
        <v/>
      </c>
      <c r="Z159">
        <f>IF(OR(I159="",J159=""),"",ROUND(I159/((J159/100)^2),2))</f>
        <v/>
      </c>
      <c r="AA159">
        <f>IF(I159="","",ROUND(IF(K159="",0,K159)+IF(L159="",0,L159)+IF(O159="",0,O159)+IF(P159="",0,P159)+IF(Q159="",0,Q159)+IF(R159="",0,R159),1))</f>
        <v/>
      </c>
      <c r="AB159">
        <f>IF(I159="","",ROUND(IF(K159="",0,K159)+IF(L159="",0,L159)+IF(M159="",0,M159)+IF(N159="",0,N159)+IF(O159="",0,O159)+IF(P159="",0,P159)+IF(Q159="",0,Q159)+IF(R159="",0,R159),1))</f>
        <v/>
      </c>
      <c r="AD159">
        <f>IF(A159="","",A159&amp;"-"&amp;TEXT(C159,"yyyymmdd"))</f>
        <v/>
      </c>
    </row>
    <row r="160">
      <c r="B160">
        <f>IFERROR(INDEX(TablaDeportistas[primerApellido],MATCH(A160,TablaDeportistas[ID_Deportista],0))&amp;" "&amp;INDEX(TablaDeportistas[nombres],MATCH(A160,TablaDeportistas[ID_Deportista],0)),"")</f>
        <v/>
      </c>
      <c r="Z160">
        <f>IF(OR(I160="",J160=""),"",ROUND(I160/((J160/100)^2),2))</f>
        <v/>
      </c>
      <c r="AA160">
        <f>IF(I160="","",ROUND(IF(K160="",0,K160)+IF(L160="",0,L160)+IF(O160="",0,O160)+IF(P160="",0,P160)+IF(Q160="",0,Q160)+IF(R160="",0,R160),1))</f>
        <v/>
      </c>
      <c r="AB160">
        <f>IF(I160="","",ROUND(IF(K160="",0,K160)+IF(L160="",0,L160)+IF(M160="",0,M160)+IF(N160="",0,N160)+IF(O160="",0,O160)+IF(P160="",0,P160)+IF(Q160="",0,Q160)+IF(R160="",0,R160),1))</f>
        <v/>
      </c>
      <c r="AD160">
        <f>IF(A160="","",A160&amp;"-"&amp;TEXT(C160,"yyyymmdd"))</f>
        <v/>
      </c>
    </row>
    <row r="161">
      <c r="B161">
        <f>IFERROR(INDEX(TablaDeportistas[primerApellido],MATCH(A161,TablaDeportistas[ID_Deportista],0))&amp;" "&amp;INDEX(TablaDeportistas[nombres],MATCH(A161,TablaDeportistas[ID_Deportista],0)),"")</f>
        <v/>
      </c>
      <c r="Z161">
        <f>IF(OR(I161="",J161=""),"",ROUND(I161/((J161/100)^2),2))</f>
        <v/>
      </c>
      <c r="AA161">
        <f>IF(I161="","",ROUND(IF(K161="",0,K161)+IF(L161="",0,L161)+IF(O161="",0,O161)+IF(P161="",0,P161)+IF(Q161="",0,Q161)+IF(R161="",0,R161),1))</f>
        <v/>
      </c>
      <c r="AB161">
        <f>IF(I161="","",ROUND(IF(K161="",0,K161)+IF(L161="",0,L161)+IF(M161="",0,M161)+IF(N161="",0,N161)+IF(O161="",0,O161)+IF(P161="",0,P161)+IF(Q161="",0,Q161)+IF(R161="",0,R161),1))</f>
        <v/>
      </c>
      <c r="AD161">
        <f>IF(A161="","",A161&amp;"-"&amp;TEXT(C161,"yyyymmdd"))</f>
        <v/>
      </c>
    </row>
    <row r="162">
      <c r="B162">
        <f>IFERROR(INDEX(TablaDeportistas[primerApellido],MATCH(A162,TablaDeportistas[ID_Deportista],0))&amp;" "&amp;INDEX(TablaDeportistas[nombres],MATCH(A162,TablaDeportistas[ID_Deportista],0)),"")</f>
        <v/>
      </c>
      <c r="Z162">
        <f>IF(OR(I162="",J162=""),"",ROUND(I162/((J162/100)^2),2))</f>
        <v/>
      </c>
      <c r="AA162">
        <f>IF(I162="","",ROUND(IF(K162="",0,K162)+IF(L162="",0,L162)+IF(O162="",0,O162)+IF(P162="",0,P162)+IF(Q162="",0,Q162)+IF(R162="",0,R162),1))</f>
        <v/>
      </c>
      <c r="AB162">
        <f>IF(I162="","",ROUND(IF(K162="",0,K162)+IF(L162="",0,L162)+IF(M162="",0,M162)+IF(N162="",0,N162)+IF(O162="",0,O162)+IF(P162="",0,P162)+IF(Q162="",0,Q162)+IF(R162="",0,R162),1))</f>
        <v/>
      </c>
      <c r="AD162">
        <f>IF(A162="","",A162&amp;"-"&amp;TEXT(C162,"yyyymmdd"))</f>
        <v/>
      </c>
    </row>
    <row r="163">
      <c r="B163">
        <f>IFERROR(INDEX(TablaDeportistas[primerApellido],MATCH(A163,TablaDeportistas[ID_Deportista],0))&amp;" "&amp;INDEX(TablaDeportistas[nombres],MATCH(A163,TablaDeportistas[ID_Deportista],0)),"")</f>
        <v/>
      </c>
      <c r="Z163">
        <f>IF(OR(I163="",J163=""),"",ROUND(I163/((J163/100)^2),2))</f>
        <v/>
      </c>
      <c r="AA163">
        <f>IF(I163="","",ROUND(IF(K163="",0,K163)+IF(L163="",0,L163)+IF(O163="",0,O163)+IF(P163="",0,P163)+IF(Q163="",0,Q163)+IF(R163="",0,R163),1))</f>
        <v/>
      </c>
      <c r="AB163">
        <f>IF(I163="","",ROUND(IF(K163="",0,K163)+IF(L163="",0,L163)+IF(M163="",0,M163)+IF(N163="",0,N163)+IF(O163="",0,O163)+IF(P163="",0,P163)+IF(Q163="",0,Q163)+IF(R163="",0,R163),1))</f>
        <v/>
      </c>
      <c r="AD163">
        <f>IF(A163="","",A163&amp;"-"&amp;TEXT(C163,"yyyymmdd"))</f>
        <v/>
      </c>
    </row>
    <row r="164">
      <c r="B164">
        <f>IFERROR(INDEX(TablaDeportistas[primerApellido],MATCH(A164,TablaDeportistas[ID_Deportista],0))&amp;" "&amp;INDEX(TablaDeportistas[nombres],MATCH(A164,TablaDeportistas[ID_Deportista],0)),"")</f>
        <v/>
      </c>
      <c r="Z164">
        <f>IF(OR(I164="",J164=""),"",ROUND(I164/((J164/100)^2),2))</f>
        <v/>
      </c>
      <c r="AA164">
        <f>IF(I164="","",ROUND(IF(K164="",0,K164)+IF(L164="",0,L164)+IF(O164="",0,O164)+IF(P164="",0,P164)+IF(Q164="",0,Q164)+IF(R164="",0,R164),1))</f>
        <v/>
      </c>
      <c r="AB164">
        <f>IF(I164="","",ROUND(IF(K164="",0,K164)+IF(L164="",0,L164)+IF(M164="",0,M164)+IF(N164="",0,N164)+IF(O164="",0,O164)+IF(P164="",0,P164)+IF(Q164="",0,Q164)+IF(R164="",0,R164),1))</f>
        <v/>
      </c>
      <c r="AD164">
        <f>IF(A164="","",A164&amp;"-"&amp;TEXT(C164,"yyyymmdd"))</f>
        <v/>
      </c>
    </row>
    <row r="165">
      <c r="B165">
        <f>IFERROR(INDEX(TablaDeportistas[primerApellido],MATCH(A165,TablaDeportistas[ID_Deportista],0))&amp;" "&amp;INDEX(TablaDeportistas[nombres],MATCH(A165,TablaDeportistas[ID_Deportista],0)),"")</f>
        <v/>
      </c>
      <c r="Z165">
        <f>IF(OR(I165="",J165=""),"",ROUND(I165/((J165/100)^2),2))</f>
        <v/>
      </c>
      <c r="AA165">
        <f>IF(I165="","",ROUND(IF(K165="",0,K165)+IF(L165="",0,L165)+IF(O165="",0,O165)+IF(P165="",0,P165)+IF(Q165="",0,Q165)+IF(R165="",0,R165),1))</f>
        <v/>
      </c>
      <c r="AB165">
        <f>IF(I165="","",ROUND(IF(K165="",0,K165)+IF(L165="",0,L165)+IF(M165="",0,M165)+IF(N165="",0,N165)+IF(O165="",0,O165)+IF(P165="",0,P165)+IF(Q165="",0,Q165)+IF(R165="",0,R165),1))</f>
        <v/>
      </c>
      <c r="AD165">
        <f>IF(A165="","",A165&amp;"-"&amp;TEXT(C165,"yyyymmdd"))</f>
        <v/>
      </c>
    </row>
    <row r="166">
      <c r="B166">
        <f>IFERROR(INDEX(TablaDeportistas[primerApellido],MATCH(A166,TablaDeportistas[ID_Deportista],0))&amp;" "&amp;INDEX(TablaDeportistas[nombres],MATCH(A166,TablaDeportistas[ID_Deportista],0)),"")</f>
        <v/>
      </c>
      <c r="Z166">
        <f>IF(OR(I166="",J166=""),"",ROUND(I166/((J166/100)^2),2))</f>
        <v/>
      </c>
      <c r="AA166">
        <f>IF(I166="","",ROUND(IF(K166="",0,K166)+IF(L166="",0,L166)+IF(O166="",0,O166)+IF(P166="",0,P166)+IF(Q166="",0,Q166)+IF(R166="",0,R166),1))</f>
        <v/>
      </c>
      <c r="AB166">
        <f>IF(I166="","",ROUND(IF(K166="",0,K166)+IF(L166="",0,L166)+IF(M166="",0,M166)+IF(N166="",0,N166)+IF(O166="",0,O166)+IF(P166="",0,P166)+IF(Q166="",0,Q166)+IF(R166="",0,R166),1))</f>
        <v/>
      </c>
      <c r="AD166">
        <f>IF(A166="","",A166&amp;"-"&amp;TEXT(C166,"yyyymmdd"))</f>
        <v/>
      </c>
    </row>
    <row r="167">
      <c r="B167">
        <f>IFERROR(INDEX(TablaDeportistas[primerApellido],MATCH(A167,TablaDeportistas[ID_Deportista],0))&amp;" "&amp;INDEX(TablaDeportistas[nombres],MATCH(A167,TablaDeportistas[ID_Deportista],0)),"")</f>
        <v/>
      </c>
      <c r="Z167">
        <f>IF(OR(I167="",J167=""),"",ROUND(I167/((J167/100)^2),2))</f>
        <v/>
      </c>
      <c r="AA167">
        <f>IF(I167="","",ROUND(IF(K167="",0,K167)+IF(L167="",0,L167)+IF(O167="",0,O167)+IF(P167="",0,P167)+IF(Q167="",0,Q167)+IF(R167="",0,R167),1))</f>
        <v/>
      </c>
      <c r="AB167">
        <f>IF(I167="","",ROUND(IF(K167="",0,K167)+IF(L167="",0,L167)+IF(M167="",0,M167)+IF(N167="",0,N167)+IF(O167="",0,O167)+IF(P167="",0,P167)+IF(Q167="",0,Q167)+IF(R167="",0,R167),1))</f>
        <v/>
      </c>
      <c r="AD167">
        <f>IF(A167="","",A167&amp;"-"&amp;TEXT(C167,"yyyymmdd"))</f>
        <v/>
      </c>
    </row>
    <row r="168">
      <c r="B168">
        <f>IFERROR(INDEX(TablaDeportistas[primerApellido],MATCH(A168,TablaDeportistas[ID_Deportista],0))&amp;" "&amp;INDEX(TablaDeportistas[nombres],MATCH(A168,TablaDeportistas[ID_Deportista],0)),"")</f>
        <v/>
      </c>
      <c r="Z168">
        <f>IF(OR(I168="",J168=""),"",ROUND(I168/((J168/100)^2),2))</f>
        <v/>
      </c>
      <c r="AA168">
        <f>IF(I168="","",ROUND(IF(K168="",0,K168)+IF(L168="",0,L168)+IF(O168="",0,O168)+IF(P168="",0,P168)+IF(Q168="",0,Q168)+IF(R168="",0,R168),1))</f>
        <v/>
      </c>
      <c r="AB168">
        <f>IF(I168="","",ROUND(IF(K168="",0,K168)+IF(L168="",0,L168)+IF(M168="",0,M168)+IF(N168="",0,N168)+IF(O168="",0,O168)+IF(P168="",0,P168)+IF(Q168="",0,Q168)+IF(R168="",0,R168),1))</f>
        <v/>
      </c>
      <c r="AD168">
        <f>IF(A168="","",A168&amp;"-"&amp;TEXT(C168,"yyyymmdd"))</f>
        <v/>
      </c>
    </row>
    <row r="169">
      <c r="B169">
        <f>IFERROR(INDEX(TablaDeportistas[primerApellido],MATCH(A169,TablaDeportistas[ID_Deportista],0))&amp;" "&amp;INDEX(TablaDeportistas[nombres],MATCH(A169,TablaDeportistas[ID_Deportista],0)),"")</f>
        <v/>
      </c>
      <c r="Z169">
        <f>IF(OR(I169="",J169=""),"",ROUND(I169/((J169/100)^2),2))</f>
        <v/>
      </c>
      <c r="AA169">
        <f>IF(I169="","",ROUND(IF(K169="",0,K169)+IF(L169="",0,L169)+IF(O169="",0,O169)+IF(P169="",0,P169)+IF(Q169="",0,Q169)+IF(R169="",0,R169),1))</f>
        <v/>
      </c>
      <c r="AB169">
        <f>IF(I169="","",ROUND(IF(K169="",0,K169)+IF(L169="",0,L169)+IF(M169="",0,M169)+IF(N169="",0,N169)+IF(O169="",0,O169)+IF(P169="",0,P169)+IF(Q169="",0,Q169)+IF(R169="",0,R169),1))</f>
        <v/>
      </c>
      <c r="AD169">
        <f>IF(A169="","",A169&amp;"-"&amp;TEXT(C169,"yyyymmdd"))</f>
        <v/>
      </c>
    </row>
    <row r="170">
      <c r="B170">
        <f>IFERROR(INDEX(TablaDeportistas[primerApellido],MATCH(A170,TablaDeportistas[ID_Deportista],0))&amp;" "&amp;INDEX(TablaDeportistas[nombres],MATCH(A170,TablaDeportistas[ID_Deportista],0)),"")</f>
        <v/>
      </c>
      <c r="Z170">
        <f>IF(OR(I170="",J170=""),"",ROUND(I170/((J170/100)^2),2))</f>
        <v/>
      </c>
      <c r="AA170">
        <f>IF(I170="","",ROUND(IF(K170="",0,K170)+IF(L170="",0,L170)+IF(O170="",0,O170)+IF(P170="",0,P170)+IF(Q170="",0,Q170)+IF(R170="",0,R170),1))</f>
        <v/>
      </c>
      <c r="AB170">
        <f>IF(I170="","",ROUND(IF(K170="",0,K170)+IF(L170="",0,L170)+IF(M170="",0,M170)+IF(N170="",0,N170)+IF(O170="",0,O170)+IF(P170="",0,P170)+IF(Q170="",0,Q170)+IF(R170="",0,R170),1))</f>
        <v/>
      </c>
      <c r="AD170">
        <f>IF(A170="","",A170&amp;"-"&amp;TEXT(C170,"yyyymmdd"))</f>
        <v/>
      </c>
    </row>
    <row r="171">
      <c r="B171">
        <f>IFERROR(INDEX(TablaDeportistas[primerApellido],MATCH(A171,TablaDeportistas[ID_Deportista],0))&amp;" "&amp;INDEX(TablaDeportistas[nombres],MATCH(A171,TablaDeportistas[ID_Deportista],0)),"")</f>
        <v/>
      </c>
      <c r="Z171">
        <f>IF(OR(I171="",J171=""),"",ROUND(I171/((J171/100)^2),2))</f>
        <v/>
      </c>
      <c r="AA171">
        <f>IF(I171="","",ROUND(IF(K171="",0,K171)+IF(L171="",0,L171)+IF(O171="",0,O171)+IF(P171="",0,P171)+IF(Q171="",0,Q171)+IF(R171="",0,R171),1))</f>
        <v/>
      </c>
      <c r="AB171">
        <f>IF(I171="","",ROUND(IF(K171="",0,K171)+IF(L171="",0,L171)+IF(M171="",0,M171)+IF(N171="",0,N171)+IF(O171="",0,O171)+IF(P171="",0,P171)+IF(Q171="",0,Q171)+IF(R171="",0,R171),1))</f>
        <v/>
      </c>
      <c r="AD171">
        <f>IF(A171="","",A171&amp;"-"&amp;TEXT(C171,"yyyymmdd"))</f>
        <v/>
      </c>
    </row>
    <row r="172">
      <c r="B172">
        <f>IFERROR(INDEX(TablaDeportistas[primerApellido],MATCH(A172,TablaDeportistas[ID_Deportista],0))&amp;" "&amp;INDEX(TablaDeportistas[nombres],MATCH(A172,TablaDeportistas[ID_Deportista],0)),"")</f>
        <v/>
      </c>
      <c r="Z172">
        <f>IF(OR(I172="",J172=""),"",ROUND(I172/((J172/100)^2),2))</f>
        <v/>
      </c>
      <c r="AA172">
        <f>IF(I172="","",ROUND(IF(K172="",0,K172)+IF(L172="",0,L172)+IF(O172="",0,O172)+IF(P172="",0,P172)+IF(Q172="",0,Q172)+IF(R172="",0,R172),1))</f>
        <v/>
      </c>
      <c r="AB172">
        <f>IF(I172="","",ROUND(IF(K172="",0,K172)+IF(L172="",0,L172)+IF(M172="",0,M172)+IF(N172="",0,N172)+IF(O172="",0,O172)+IF(P172="",0,P172)+IF(Q172="",0,Q172)+IF(R172="",0,R172),1))</f>
        <v/>
      </c>
      <c r="AD172">
        <f>IF(A172="","",A172&amp;"-"&amp;TEXT(C172,"yyyymmdd"))</f>
        <v/>
      </c>
    </row>
    <row r="173">
      <c r="B173">
        <f>IFERROR(INDEX(TablaDeportistas[primerApellido],MATCH(A173,TablaDeportistas[ID_Deportista],0))&amp;" "&amp;INDEX(TablaDeportistas[nombres],MATCH(A173,TablaDeportistas[ID_Deportista],0)),"")</f>
        <v/>
      </c>
      <c r="Z173">
        <f>IF(OR(I173="",J173=""),"",ROUND(I173/((J173/100)^2),2))</f>
        <v/>
      </c>
      <c r="AA173">
        <f>IF(I173="","",ROUND(IF(K173="",0,K173)+IF(L173="",0,L173)+IF(O173="",0,O173)+IF(P173="",0,P173)+IF(Q173="",0,Q173)+IF(R173="",0,R173),1))</f>
        <v/>
      </c>
      <c r="AB173">
        <f>IF(I173="","",ROUND(IF(K173="",0,K173)+IF(L173="",0,L173)+IF(M173="",0,M173)+IF(N173="",0,N173)+IF(O173="",0,O173)+IF(P173="",0,P173)+IF(Q173="",0,Q173)+IF(R173="",0,R173),1))</f>
        <v/>
      </c>
      <c r="AD173">
        <f>IF(A173="","",A173&amp;"-"&amp;TEXT(C173,"yyyymmdd"))</f>
        <v/>
      </c>
    </row>
    <row r="174">
      <c r="B174">
        <f>IFERROR(INDEX(TablaDeportistas[primerApellido],MATCH(A174,TablaDeportistas[ID_Deportista],0))&amp;" "&amp;INDEX(TablaDeportistas[nombres],MATCH(A174,TablaDeportistas[ID_Deportista],0)),"")</f>
        <v/>
      </c>
      <c r="Z174">
        <f>IF(OR(I174="",J174=""),"",ROUND(I174/((J174/100)^2),2))</f>
        <v/>
      </c>
      <c r="AA174">
        <f>IF(I174="","",ROUND(IF(K174="",0,K174)+IF(L174="",0,L174)+IF(O174="",0,O174)+IF(P174="",0,P174)+IF(Q174="",0,Q174)+IF(R174="",0,R174),1))</f>
        <v/>
      </c>
      <c r="AB174">
        <f>IF(I174="","",ROUND(IF(K174="",0,K174)+IF(L174="",0,L174)+IF(M174="",0,M174)+IF(N174="",0,N174)+IF(O174="",0,O174)+IF(P174="",0,P174)+IF(Q174="",0,Q174)+IF(R174="",0,R174),1))</f>
        <v/>
      </c>
      <c r="AD174">
        <f>IF(A174="","",A174&amp;"-"&amp;TEXT(C174,"yyyymmdd"))</f>
        <v/>
      </c>
    </row>
    <row r="175">
      <c r="B175">
        <f>IFERROR(INDEX(TablaDeportistas[primerApellido],MATCH(A175,TablaDeportistas[ID_Deportista],0))&amp;" "&amp;INDEX(TablaDeportistas[nombres],MATCH(A175,TablaDeportistas[ID_Deportista],0)),"")</f>
        <v/>
      </c>
      <c r="Z175">
        <f>IF(OR(I175="",J175=""),"",ROUND(I175/((J175/100)^2),2))</f>
        <v/>
      </c>
      <c r="AA175">
        <f>IF(I175="","",ROUND(IF(K175="",0,K175)+IF(L175="",0,L175)+IF(O175="",0,O175)+IF(P175="",0,P175)+IF(Q175="",0,Q175)+IF(R175="",0,R175),1))</f>
        <v/>
      </c>
      <c r="AB175">
        <f>IF(I175="","",ROUND(IF(K175="",0,K175)+IF(L175="",0,L175)+IF(M175="",0,M175)+IF(N175="",0,N175)+IF(O175="",0,O175)+IF(P175="",0,P175)+IF(Q175="",0,Q175)+IF(R175="",0,R175),1))</f>
        <v/>
      </c>
      <c r="AD175">
        <f>IF(A175="","",A175&amp;"-"&amp;TEXT(C175,"yyyymmdd"))</f>
        <v/>
      </c>
    </row>
    <row r="176">
      <c r="B176">
        <f>IFERROR(INDEX(TablaDeportistas[primerApellido],MATCH(A176,TablaDeportistas[ID_Deportista],0))&amp;" "&amp;INDEX(TablaDeportistas[nombres],MATCH(A176,TablaDeportistas[ID_Deportista],0)),"")</f>
        <v/>
      </c>
      <c r="Z176">
        <f>IF(OR(I176="",J176=""),"",ROUND(I176/((J176/100)^2),2))</f>
        <v/>
      </c>
      <c r="AA176">
        <f>IF(I176="","",ROUND(IF(K176="",0,K176)+IF(L176="",0,L176)+IF(O176="",0,O176)+IF(P176="",0,P176)+IF(Q176="",0,Q176)+IF(R176="",0,R176),1))</f>
        <v/>
      </c>
      <c r="AB176">
        <f>IF(I176="","",ROUND(IF(K176="",0,K176)+IF(L176="",0,L176)+IF(M176="",0,M176)+IF(N176="",0,N176)+IF(O176="",0,O176)+IF(P176="",0,P176)+IF(Q176="",0,Q176)+IF(R176="",0,R176),1))</f>
        <v/>
      </c>
      <c r="AD176">
        <f>IF(A176="","",A176&amp;"-"&amp;TEXT(C176,"yyyymmdd"))</f>
        <v/>
      </c>
    </row>
    <row r="177">
      <c r="B177">
        <f>IFERROR(INDEX(TablaDeportistas[primerApellido],MATCH(A177,TablaDeportistas[ID_Deportista],0))&amp;" "&amp;INDEX(TablaDeportistas[nombres],MATCH(A177,TablaDeportistas[ID_Deportista],0)),"")</f>
        <v/>
      </c>
      <c r="Z177">
        <f>IF(OR(I177="",J177=""),"",ROUND(I177/((J177/100)^2),2))</f>
        <v/>
      </c>
      <c r="AA177">
        <f>IF(I177="","",ROUND(IF(K177="",0,K177)+IF(L177="",0,L177)+IF(O177="",0,O177)+IF(P177="",0,P177)+IF(Q177="",0,Q177)+IF(R177="",0,R177),1))</f>
        <v/>
      </c>
      <c r="AB177">
        <f>IF(I177="","",ROUND(IF(K177="",0,K177)+IF(L177="",0,L177)+IF(M177="",0,M177)+IF(N177="",0,N177)+IF(O177="",0,O177)+IF(P177="",0,P177)+IF(Q177="",0,Q177)+IF(R177="",0,R177),1))</f>
        <v/>
      </c>
      <c r="AD177">
        <f>IF(A177="","",A177&amp;"-"&amp;TEXT(C177,"yyyymmdd"))</f>
        <v/>
      </c>
    </row>
    <row r="178">
      <c r="B178">
        <f>IFERROR(INDEX(TablaDeportistas[primerApellido],MATCH(A178,TablaDeportistas[ID_Deportista],0))&amp;" "&amp;INDEX(TablaDeportistas[nombres],MATCH(A178,TablaDeportistas[ID_Deportista],0)),"")</f>
        <v/>
      </c>
      <c r="Z178">
        <f>IF(OR(I178="",J178=""),"",ROUND(I178/((J178/100)^2),2))</f>
        <v/>
      </c>
      <c r="AA178">
        <f>IF(I178="","",ROUND(IF(K178="",0,K178)+IF(L178="",0,L178)+IF(O178="",0,O178)+IF(P178="",0,P178)+IF(Q178="",0,Q178)+IF(R178="",0,R178),1))</f>
        <v/>
      </c>
      <c r="AB178">
        <f>IF(I178="","",ROUND(IF(K178="",0,K178)+IF(L178="",0,L178)+IF(M178="",0,M178)+IF(N178="",0,N178)+IF(O178="",0,O178)+IF(P178="",0,P178)+IF(Q178="",0,Q178)+IF(R178="",0,R178),1))</f>
        <v/>
      </c>
      <c r="AD178">
        <f>IF(A178="","",A178&amp;"-"&amp;TEXT(C178,"yyyymmdd"))</f>
        <v/>
      </c>
    </row>
    <row r="179">
      <c r="B179">
        <f>IFERROR(INDEX(TablaDeportistas[primerApellido],MATCH(A179,TablaDeportistas[ID_Deportista],0))&amp;" "&amp;INDEX(TablaDeportistas[nombres],MATCH(A179,TablaDeportistas[ID_Deportista],0)),"")</f>
        <v/>
      </c>
      <c r="Z179">
        <f>IF(OR(I179="",J179=""),"",ROUND(I179/((J179/100)^2),2))</f>
        <v/>
      </c>
      <c r="AA179">
        <f>IF(I179="","",ROUND(IF(K179="",0,K179)+IF(L179="",0,L179)+IF(O179="",0,O179)+IF(P179="",0,P179)+IF(Q179="",0,Q179)+IF(R179="",0,R179),1))</f>
        <v/>
      </c>
      <c r="AB179">
        <f>IF(I179="","",ROUND(IF(K179="",0,K179)+IF(L179="",0,L179)+IF(M179="",0,M179)+IF(N179="",0,N179)+IF(O179="",0,O179)+IF(P179="",0,P179)+IF(Q179="",0,Q179)+IF(R179="",0,R179),1))</f>
        <v/>
      </c>
      <c r="AD179">
        <f>IF(A179="","",A179&amp;"-"&amp;TEXT(C179,"yyyymmdd"))</f>
        <v/>
      </c>
    </row>
    <row r="180">
      <c r="B180">
        <f>IFERROR(INDEX(TablaDeportistas[primerApellido],MATCH(A180,TablaDeportistas[ID_Deportista],0))&amp;" "&amp;INDEX(TablaDeportistas[nombres],MATCH(A180,TablaDeportistas[ID_Deportista],0)),"")</f>
        <v/>
      </c>
      <c r="Z180">
        <f>IF(OR(I180="",J180=""),"",ROUND(I180/((J180/100)^2),2))</f>
        <v/>
      </c>
      <c r="AA180">
        <f>IF(I180="","",ROUND(IF(K180="",0,K180)+IF(L180="",0,L180)+IF(O180="",0,O180)+IF(P180="",0,P180)+IF(Q180="",0,Q180)+IF(R180="",0,R180),1))</f>
        <v/>
      </c>
      <c r="AB180">
        <f>IF(I180="","",ROUND(IF(K180="",0,K180)+IF(L180="",0,L180)+IF(M180="",0,M180)+IF(N180="",0,N180)+IF(O180="",0,O180)+IF(P180="",0,P180)+IF(Q180="",0,Q180)+IF(R180="",0,R180),1))</f>
        <v/>
      </c>
      <c r="AD180">
        <f>IF(A180="","",A180&amp;"-"&amp;TEXT(C180,"yyyymmdd"))</f>
        <v/>
      </c>
    </row>
    <row r="181">
      <c r="B181">
        <f>IFERROR(INDEX(TablaDeportistas[primerApellido],MATCH(A181,TablaDeportistas[ID_Deportista],0))&amp;" "&amp;INDEX(TablaDeportistas[nombres],MATCH(A181,TablaDeportistas[ID_Deportista],0)),"")</f>
        <v/>
      </c>
      <c r="Z181">
        <f>IF(OR(I181="",J181=""),"",ROUND(I181/((J181/100)^2),2))</f>
        <v/>
      </c>
      <c r="AA181">
        <f>IF(I181="","",ROUND(IF(K181="",0,K181)+IF(L181="",0,L181)+IF(O181="",0,O181)+IF(P181="",0,P181)+IF(Q181="",0,Q181)+IF(R181="",0,R181),1))</f>
        <v/>
      </c>
      <c r="AB181">
        <f>IF(I181="","",ROUND(IF(K181="",0,K181)+IF(L181="",0,L181)+IF(M181="",0,M181)+IF(N181="",0,N181)+IF(O181="",0,O181)+IF(P181="",0,P181)+IF(Q181="",0,Q181)+IF(R181="",0,R181),1))</f>
        <v/>
      </c>
      <c r="AD181">
        <f>IF(A181="","",A181&amp;"-"&amp;TEXT(C181,"yyyymmdd"))</f>
        <v/>
      </c>
    </row>
    <row r="182">
      <c r="B182">
        <f>IFERROR(INDEX(TablaDeportistas[primerApellido],MATCH(A182,TablaDeportistas[ID_Deportista],0))&amp;" "&amp;INDEX(TablaDeportistas[nombres],MATCH(A182,TablaDeportistas[ID_Deportista],0)),"")</f>
        <v/>
      </c>
      <c r="Z182">
        <f>IF(OR(I182="",J182=""),"",ROUND(I182/((J182/100)^2),2))</f>
        <v/>
      </c>
      <c r="AA182">
        <f>IF(I182="","",ROUND(IF(K182="",0,K182)+IF(L182="",0,L182)+IF(O182="",0,O182)+IF(P182="",0,P182)+IF(Q182="",0,Q182)+IF(R182="",0,R182),1))</f>
        <v/>
      </c>
      <c r="AB182">
        <f>IF(I182="","",ROUND(IF(K182="",0,K182)+IF(L182="",0,L182)+IF(M182="",0,M182)+IF(N182="",0,N182)+IF(O182="",0,O182)+IF(P182="",0,P182)+IF(Q182="",0,Q182)+IF(R182="",0,R182),1))</f>
        <v/>
      </c>
      <c r="AD182">
        <f>IF(A182="","",A182&amp;"-"&amp;TEXT(C182,"yyyymmdd"))</f>
        <v/>
      </c>
    </row>
    <row r="183">
      <c r="B183">
        <f>IFERROR(INDEX(TablaDeportistas[primerApellido],MATCH(A183,TablaDeportistas[ID_Deportista],0))&amp;" "&amp;INDEX(TablaDeportistas[nombres],MATCH(A183,TablaDeportistas[ID_Deportista],0)),"")</f>
        <v/>
      </c>
      <c r="Z183">
        <f>IF(OR(I183="",J183=""),"",ROUND(I183/((J183/100)^2),2))</f>
        <v/>
      </c>
      <c r="AA183">
        <f>IF(I183="","",ROUND(IF(K183="",0,K183)+IF(L183="",0,L183)+IF(O183="",0,O183)+IF(P183="",0,P183)+IF(Q183="",0,Q183)+IF(R183="",0,R183),1))</f>
        <v/>
      </c>
      <c r="AB183">
        <f>IF(I183="","",ROUND(IF(K183="",0,K183)+IF(L183="",0,L183)+IF(M183="",0,M183)+IF(N183="",0,N183)+IF(O183="",0,O183)+IF(P183="",0,P183)+IF(Q183="",0,Q183)+IF(R183="",0,R183),1))</f>
        <v/>
      </c>
      <c r="AD183">
        <f>IF(A183="","",A183&amp;"-"&amp;TEXT(C183,"yyyymmdd"))</f>
        <v/>
      </c>
    </row>
    <row r="184">
      <c r="B184">
        <f>IFERROR(INDEX(TablaDeportistas[primerApellido],MATCH(A184,TablaDeportistas[ID_Deportista],0))&amp;" "&amp;INDEX(TablaDeportistas[nombres],MATCH(A184,TablaDeportistas[ID_Deportista],0)),"")</f>
        <v/>
      </c>
      <c r="Z184">
        <f>IF(OR(I184="",J184=""),"",ROUND(I184/((J184/100)^2),2))</f>
        <v/>
      </c>
      <c r="AA184">
        <f>IF(I184="","",ROUND(IF(K184="",0,K184)+IF(L184="",0,L184)+IF(O184="",0,O184)+IF(P184="",0,P184)+IF(Q184="",0,Q184)+IF(R184="",0,R184),1))</f>
        <v/>
      </c>
      <c r="AB184">
        <f>IF(I184="","",ROUND(IF(K184="",0,K184)+IF(L184="",0,L184)+IF(M184="",0,M184)+IF(N184="",0,N184)+IF(O184="",0,O184)+IF(P184="",0,P184)+IF(Q184="",0,Q184)+IF(R184="",0,R184),1))</f>
        <v/>
      </c>
      <c r="AD184">
        <f>IF(A184="","",A184&amp;"-"&amp;TEXT(C184,"yyyymmdd"))</f>
        <v/>
      </c>
    </row>
    <row r="185">
      <c r="B185">
        <f>IFERROR(INDEX(TablaDeportistas[primerApellido],MATCH(A185,TablaDeportistas[ID_Deportista],0))&amp;" "&amp;INDEX(TablaDeportistas[nombres],MATCH(A185,TablaDeportistas[ID_Deportista],0)),"")</f>
        <v/>
      </c>
      <c r="Z185">
        <f>IF(OR(I185="",J185=""),"",ROUND(I185/((J185/100)^2),2))</f>
        <v/>
      </c>
      <c r="AA185">
        <f>IF(I185="","",ROUND(IF(K185="",0,K185)+IF(L185="",0,L185)+IF(O185="",0,O185)+IF(P185="",0,P185)+IF(Q185="",0,Q185)+IF(R185="",0,R185),1))</f>
        <v/>
      </c>
      <c r="AB185">
        <f>IF(I185="","",ROUND(IF(K185="",0,K185)+IF(L185="",0,L185)+IF(M185="",0,M185)+IF(N185="",0,N185)+IF(O185="",0,O185)+IF(P185="",0,P185)+IF(Q185="",0,Q185)+IF(R185="",0,R185),1))</f>
        <v/>
      </c>
      <c r="AD185">
        <f>IF(A185="","",A185&amp;"-"&amp;TEXT(C185,"yyyymmdd"))</f>
        <v/>
      </c>
    </row>
    <row r="186">
      <c r="B186">
        <f>IFERROR(INDEX(TablaDeportistas[primerApellido],MATCH(A186,TablaDeportistas[ID_Deportista],0))&amp;" "&amp;INDEX(TablaDeportistas[nombres],MATCH(A186,TablaDeportistas[ID_Deportista],0)),"")</f>
        <v/>
      </c>
      <c r="Z186">
        <f>IF(OR(I186="",J186=""),"",ROUND(I186/((J186/100)^2),2))</f>
        <v/>
      </c>
      <c r="AA186">
        <f>IF(I186="","",ROUND(IF(K186="",0,K186)+IF(L186="",0,L186)+IF(O186="",0,O186)+IF(P186="",0,P186)+IF(Q186="",0,Q186)+IF(R186="",0,R186),1))</f>
        <v/>
      </c>
      <c r="AB186">
        <f>IF(I186="","",ROUND(IF(K186="",0,K186)+IF(L186="",0,L186)+IF(M186="",0,M186)+IF(N186="",0,N186)+IF(O186="",0,O186)+IF(P186="",0,P186)+IF(Q186="",0,Q186)+IF(R186="",0,R186),1))</f>
        <v/>
      </c>
      <c r="AD186">
        <f>IF(A186="","",A186&amp;"-"&amp;TEXT(C186,"yyyymmdd"))</f>
        <v/>
      </c>
    </row>
    <row r="187">
      <c r="B187">
        <f>IFERROR(INDEX(TablaDeportistas[primerApellido],MATCH(A187,TablaDeportistas[ID_Deportista],0))&amp;" "&amp;INDEX(TablaDeportistas[nombres],MATCH(A187,TablaDeportistas[ID_Deportista],0)),"")</f>
        <v/>
      </c>
      <c r="Z187">
        <f>IF(OR(I187="",J187=""),"",ROUND(I187/((J187/100)^2),2))</f>
        <v/>
      </c>
      <c r="AA187">
        <f>IF(I187="","",ROUND(IF(K187="",0,K187)+IF(L187="",0,L187)+IF(O187="",0,O187)+IF(P187="",0,P187)+IF(Q187="",0,Q187)+IF(R187="",0,R187),1))</f>
        <v/>
      </c>
      <c r="AB187">
        <f>IF(I187="","",ROUND(IF(K187="",0,K187)+IF(L187="",0,L187)+IF(M187="",0,M187)+IF(N187="",0,N187)+IF(O187="",0,O187)+IF(P187="",0,P187)+IF(Q187="",0,Q187)+IF(R187="",0,R187),1))</f>
        <v/>
      </c>
      <c r="AD187">
        <f>IF(A187="","",A187&amp;"-"&amp;TEXT(C187,"yyyymmdd"))</f>
        <v/>
      </c>
    </row>
    <row r="188">
      <c r="B188">
        <f>IFERROR(INDEX(TablaDeportistas[primerApellido],MATCH(A188,TablaDeportistas[ID_Deportista],0))&amp;" "&amp;INDEX(TablaDeportistas[nombres],MATCH(A188,TablaDeportistas[ID_Deportista],0)),"")</f>
        <v/>
      </c>
      <c r="Z188">
        <f>IF(OR(I188="",J188=""),"",ROUND(I188/((J188/100)^2),2))</f>
        <v/>
      </c>
      <c r="AA188">
        <f>IF(I188="","",ROUND(IF(K188="",0,K188)+IF(L188="",0,L188)+IF(O188="",0,O188)+IF(P188="",0,P188)+IF(Q188="",0,Q188)+IF(R188="",0,R188),1))</f>
        <v/>
      </c>
      <c r="AB188">
        <f>IF(I188="","",ROUND(IF(K188="",0,K188)+IF(L188="",0,L188)+IF(M188="",0,M188)+IF(N188="",0,N188)+IF(O188="",0,O188)+IF(P188="",0,P188)+IF(Q188="",0,Q188)+IF(R188="",0,R188),1))</f>
        <v/>
      </c>
      <c r="AD188">
        <f>IF(A188="","",A188&amp;"-"&amp;TEXT(C188,"yyyymmdd"))</f>
        <v/>
      </c>
    </row>
    <row r="189">
      <c r="B189">
        <f>IFERROR(INDEX(TablaDeportistas[primerApellido],MATCH(A189,TablaDeportistas[ID_Deportista],0))&amp;" "&amp;INDEX(TablaDeportistas[nombres],MATCH(A189,TablaDeportistas[ID_Deportista],0)),"")</f>
        <v/>
      </c>
      <c r="Z189">
        <f>IF(OR(I189="",J189=""),"",ROUND(I189/((J189/100)^2),2))</f>
        <v/>
      </c>
      <c r="AA189">
        <f>IF(I189="","",ROUND(IF(K189="",0,K189)+IF(L189="",0,L189)+IF(O189="",0,O189)+IF(P189="",0,P189)+IF(Q189="",0,Q189)+IF(R189="",0,R189),1))</f>
        <v/>
      </c>
      <c r="AB189">
        <f>IF(I189="","",ROUND(IF(K189="",0,K189)+IF(L189="",0,L189)+IF(M189="",0,M189)+IF(N189="",0,N189)+IF(O189="",0,O189)+IF(P189="",0,P189)+IF(Q189="",0,Q189)+IF(R189="",0,R189),1))</f>
        <v/>
      </c>
      <c r="AD189">
        <f>IF(A189="","",A189&amp;"-"&amp;TEXT(C189,"yyyymmdd"))</f>
        <v/>
      </c>
    </row>
    <row r="190">
      <c r="B190">
        <f>IFERROR(INDEX(TablaDeportistas[primerApellido],MATCH(A190,TablaDeportistas[ID_Deportista],0))&amp;" "&amp;INDEX(TablaDeportistas[nombres],MATCH(A190,TablaDeportistas[ID_Deportista],0)),"")</f>
        <v/>
      </c>
      <c r="Z190">
        <f>IF(OR(I190="",J190=""),"",ROUND(I190/((J190/100)^2),2))</f>
        <v/>
      </c>
      <c r="AA190">
        <f>IF(I190="","",ROUND(IF(K190="",0,K190)+IF(L190="",0,L190)+IF(O190="",0,O190)+IF(P190="",0,P190)+IF(Q190="",0,Q190)+IF(R190="",0,R190),1))</f>
        <v/>
      </c>
      <c r="AB190">
        <f>IF(I190="","",ROUND(IF(K190="",0,K190)+IF(L190="",0,L190)+IF(M190="",0,M190)+IF(N190="",0,N190)+IF(O190="",0,O190)+IF(P190="",0,P190)+IF(Q190="",0,Q190)+IF(R190="",0,R190),1))</f>
        <v/>
      </c>
      <c r="AD190">
        <f>IF(A190="","",A190&amp;"-"&amp;TEXT(C190,"yyyymmdd"))</f>
        <v/>
      </c>
    </row>
    <row r="191">
      <c r="B191">
        <f>IFERROR(INDEX(TablaDeportistas[primerApellido],MATCH(A191,TablaDeportistas[ID_Deportista],0))&amp;" "&amp;INDEX(TablaDeportistas[nombres],MATCH(A191,TablaDeportistas[ID_Deportista],0)),"")</f>
        <v/>
      </c>
      <c r="Z191">
        <f>IF(OR(I191="",J191=""),"",ROUND(I191/((J191/100)^2),2))</f>
        <v/>
      </c>
      <c r="AA191">
        <f>IF(I191="","",ROUND(IF(K191="",0,K191)+IF(L191="",0,L191)+IF(O191="",0,O191)+IF(P191="",0,P191)+IF(Q191="",0,Q191)+IF(R191="",0,R191),1))</f>
        <v/>
      </c>
      <c r="AB191">
        <f>IF(I191="","",ROUND(IF(K191="",0,K191)+IF(L191="",0,L191)+IF(M191="",0,M191)+IF(N191="",0,N191)+IF(O191="",0,O191)+IF(P191="",0,P191)+IF(Q191="",0,Q191)+IF(R191="",0,R191),1))</f>
        <v/>
      </c>
      <c r="AD191">
        <f>IF(A191="","",A191&amp;"-"&amp;TEXT(C191,"yyyymmdd"))</f>
        <v/>
      </c>
    </row>
    <row r="192">
      <c r="B192">
        <f>IFERROR(INDEX(TablaDeportistas[primerApellido],MATCH(A192,TablaDeportistas[ID_Deportista],0))&amp;" "&amp;INDEX(TablaDeportistas[nombres],MATCH(A192,TablaDeportistas[ID_Deportista],0)),"")</f>
        <v/>
      </c>
      <c r="Z192">
        <f>IF(OR(I192="",J192=""),"",ROUND(I192/((J192/100)^2),2))</f>
        <v/>
      </c>
      <c r="AA192">
        <f>IF(I192="","",ROUND(IF(K192="",0,K192)+IF(L192="",0,L192)+IF(O192="",0,O192)+IF(P192="",0,P192)+IF(Q192="",0,Q192)+IF(R192="",0,R192),1))</f>
        <v/>
      </c>
      <c r="AB192">
        <f>IF(I192="","",ROUND(IF(K192="",0,K192)+IF(L192="",0,L192)+IF(M192="",0,M192)+IF(N192="",0,N192)+IF(O192="",0,O192)+IF(P192="",0,P192)+IF(Q192="",0,Q192)+IF(R192="",0,R192),1))</f>
        <v/>
      </c>
      <c r="AD192">
        <f>IF(A192="","",A192&amp;"-"&amp;TEXT(C192,"yyyymmdd"))</f>
        <v/>
      </c>
    </row>
    <row r="193">
      <c r="B193">
        <f>IFERROR(INDEX(TablaDeportistas[primerApellido],MATCH(A193,TablaDeportistas[ID_Deportista],0))&amp;" "&amp;INDEX(TablaDeportistas[nombres],MATCH(A193,TablaDeportistas[ID_Deportista],0)),"")</f>
        <v/>
      </c>
      <c r="Z193">
        <f>IF(OR(I193="",J193=""),"",ROUND(I193/((J193/100)^2),2))</f>
        <v/>
      </c>
      <c r="AA193">
        <f>IF(I193="","",ROUND(IF(K193="",0,K193)+IF(L193="",0,L193)+IF(O193="",0,O193)+IF(P193="",0,P193)+IF(Q193="",0,Q193)+IF(R193="",0,R193),1))</f>
        <v/>
      </c>
      <c r="AB193">
        <f>IF(I193="","",ROUND(IF(K193="",0,K193)+IF(L193="",0,L193)+IF(M193="",0,M193)+IF(N193="",0,N193)+IF(O193="",0,O193)+IF(P193="",0,P193)+IF(Q193="",0,Q193)+IF(R193="",0,R193),1))</f>
        <v/>
      </c>
      <c r="AD193">
        <f>IF(A193="","",A193&amp;"-"&amp;TEXT(C193,"yyyymmdd"))</f>
        <v/>
      </c>
    </row>
    <row r="194">
      <c r="B194">
        <f>IFERROR(INDEX(TablaDeportistas[primerApellido],MATCH(A194,TablaDeportistas[ID_Deportista],0))&amp;" "&amp;INDEX(TablaDeportistas[nombres],MATCH(A194,TablaDeportistas[ID_Deportista],0)),"")</f>
        <v/>
      </c>
      <c r="Z194">
        <f>IF(OR(I194="",J194=""),"",ROUND(I194/((J194/100)^2),2))</f>
        <v/>
      </c>
      <c r="AA194">
        <f>IF(I194="","",ROUND(IF(K194="",0,K194)+IF(L194="",0,L194)+IF(O194="",0,O194)+IF(P194="",0,P194)+IF(Q194="",0,Q194)+IF(R194="",0,R194),1))</f>
        <v/>
      </c>
      <c r="AB194">
        <f>IF(I194="","",ROUND(IF(K194="",0,K194)+IF(L194="",0,L194)+IF(M194="",0,M194)+IF(N194="",0,N194)+IF(O194="",0,O194)+IF(P194="",0,P194)+IF(Q194="",0,Q194)+IF(R194="",0,R194),1))</f>
        <v/>
      </c>
      <c r="AD194">
        <f>IF(A194="","",A194&amp;"-"&amp;TEXT(C194,"yyyymmdd"))</f>
        <v/>
      </c>
    </row>
    <row r="195">
      <c r="B195">
        <f>IFERROR(INDEX(TablaDeportistas[primerApellido],MATCH(A195,TablaDeportistas[ID_Deportista],0))&amp;" "&amp;INDEX(TablaDeportistas[nombres],MATCH(A195,TablaDeportistas[ID_Deportista],0)),"")</f>
        <v/>
      </c>
      <c r="Z195">
        <f>IF(OR(I195="",J195=""),"",ROUND(I195/((J195/100)^2),2))</f>
        <v/>
      </c>
      <c r="AA195">
        <f>IF(I195="","",ROUND(IF(K195="",0,K195)+IF(L195="",0,L195)+IF(O195="",0,O195)+IF(P195="",0,P195)+IF(Q195="",0,Q195)+IF(R195="",0,R195),1))</f>
        <v/>
      </c>
      <c r="AB195">
        <f>IF(I195="","",ROUND(IF(K195="",0,K195)+IF(L195="",0,L195)+IF(M195="",0,M195)+IF(N195="",0,N195)+IF(O195="",0,O195)+IF(P195="",0,P195)+IF(Q195="",0,Q195)+IF(R195="",0,R195),1))</f>
        <v/>
      </c>
      <c r="AD195">
        <f>IF(A195="","",A195&amp;"-"&amp;TEXT(C195,"yyyymmdd"))</f>
        <v/>
      </c>
    </row>
    <row r="196">
      <c r="B196">
        <f>IFERROR(INDEX(TablaDeportistas[primerApellido],MATCH(A196,TablaDeportistas[ID_Deportista],0))&amp;" "&amp;INDEX(TablaDeportistas[nombres],MATCH(A196,TablaDeportistas[ID_Deportista],0)),"")</f>
        <v/>
      </c>
      <c r="Z196">
        <f>IF(OR(I196="",J196=""),"",ROUND(I196/((J196/100)^2),2))</f>
        <v/>
      </c>
      <c r="AA196">
        <f>IF(I196="","",ROUND(IF(K196="",0,K196)+IF(L196="",0,L196)+IF(O196="",0,O196)+IF(P196="",0,P196)+IF(Q196="",0,Q196)+IF(R196="",0,R196),1))</f>
        <v/>
      </c>
      <c r="AB196">
        <f>IF(I196="","",ROUND(IF(K196="",0,K196)+IF(L196="",0,L196)+IF(M196="",0,M196)+IF(N196="",0,N196)+IF(O196="",0,O196)+IF(P196="",0,P196)+IF(Q196="",0,Q196)+IF(R196="",0,R196),1))</f>
        <v/>
      </c>
      <c r="AD196">
        <f>IF(A196="","",A196&amp;"-"&amp;TEXT(C196,"yyyymmdd"))</f>
        <v/>
      </c>
    </row>
    <row r="197">
      <c r="B197">
        <f>IFERROR(INDEX(TablaDeportistas[primerApellido],MATCH(A197,TablaDeportistas[ID_Deportista],0))&amp;" "&amp;INDEX(TablaDeportistas[nombres],MATCH(A197,TablaDeportistas[ID_Deportista],0)),"")</f>
        <v/>
      </c>
      <c r="Z197">
        <f>IF(OR(I197="",J197=""),"",ROUND(I197/((J197/100)^2),2))</f>
        <v/>
      </c>
      <c r="AA197">
        <f>IF(I197="","",ROUND(IF(K197="",0,K197)+IF(L197="",0,L197)+IF(O197="",0,O197)+IF(P197="",0,P197)+IF(Q197="",0,Q197)+IF(R197="",0,R197),1))</f>
        <v/>
      </c>
      <c r="AB197">
        <f>IF(I197="","",ROUND(IF(K197="",0,K197)+IF(L197="",0,L197)+IF(M197="",0,M197)+IF(N197="",0,N197)+IF(O197="",0,O197)+IF(P197="",0,P197)+IF(Q197="",0,Q197)+IF(R197="",0,R197),1))</f>
        <v/>
      </c>
      <c r="AD197">
        <f>IF(A197="","",A197&amp;"-"&amp;TEXT(C197,"yyyymmdd"))</f>
        <v/>
      </c>
    </row>
    <row r="198">
      <c r="B198">
        <f>IFERROR(INDEX(TablaDeportistas[primerApellido],MATCH(A198,TablaDeportistas[ID_Deportista],0))&amp;" "&amp;INDEX(TablaDeportistas[nombres],MATCH(A198,TablaDeportistas[ID_Deportista],0)),"")</f>
        <v/>
      </c>
      <c r="Z198">
        <f>IF(OR(I198="",J198=""),"",ROUND(I198/((J198/100)^2),2))</f>
        <v/>
      </c>
      <c r="AA198">
        <f>IF(I198="","",ROUND(IF(K198="",0,K198)+IF(L198="",0,L198)+IF(O198="",0,O198)+IF(P198="",0,P198)+IF(Q198="",0,Q198)+IF(R198="",0,R198),1))</f>
        <v/>
      </c>
      <c r="AB198">
        <f>IF(I198="","",ROUND(IF(K198="",0,K198)+IF(L198="",0,L198)+IF(M198="",0,M198)+IF(N198="",0,N198)+IF(O198="",0,O198)+IF(P198="",0,P198)+IF(Q198="",0,Q198)+IF(R198="",0,R198),1))</f>
        <v/>
      </c>
      <c r="AD198">
        <f>IF(A198="","",A198&amp;"-"&amp;TEXT(C198,"yyyymmdd"))</f>
        <v/>
      </c>
    </row>
    <row r="199">
      <c r="B199">
        <f>IFERROR(INDEX(TablaDeportistas[primerApellido],MATCH(A199,TablaDeportistas[ID_Deportista],0))&amp;" "&amp;INDEX(TablaDeportistas[nombres],MATCH(A199,TablaDeportistas[ID_Deportista],0)),"")</f>
        <v/>
      </c>
      <c r="Z199">
        <f>IF(OR(I199="",J199=""),"",ROUND(I199/((J199/100)^2),2))</f>
        <v/>
      </c>
      <c r="AA199">
        <f>IF(I199="","",ROUND(IF(K199="",0,K199)+IF(L199="",0,L199)+IF(O199="",0,O199)+IF(P199="",0,P199)+IF(Q199="",0,Q199)+IF(R199="",0,R199),1))</f>
        <v/>
      </c>
      <c r="AB199">
        <f>IF(I199="","",ROUND(IF(K199="",0,K199)+IF(L199="",0,L199)+IF(M199="",0,M199)+IF(N199="",0,N199)+IF(O199="",0,O199)+IF(P199="",0,P199)+IF(Q199="",0,Q199)+IF(R199="",0,R199),1))</f>
        <v/>
      </c>
      <c r="AD199">
        <f>IF(A199="","",A199&amp;"-"&amp;TEXT(C199,"yyyymmdd"))</f>
        <v/>
      </c>
    </row>
    <row r="200">
      <c r="B200">
        <f>IFERROR(INDEX(TablaDeportistas[primerApellido],MATCH(A200,TablaDeportistas[ID_Deportista],0))&amp;" "&amp;INDEX(TablaDeportistas[nombres],MATCH(A200,TablaDeportistas[ID_Deportista],0)),"")</f>
        <v/>
      </c>
      <c r="Z200">
        <f>IF(OR(I200="",J200=""),"",ROUND(I200/((J200/100)^2),2))</f>
        <v/>
      </c>
      <c r="AA200">
        <f>IF(I200="","",ROUND(IF(K200="",0,K200)+IF(L200="",0,L200)+IF(O200="",0,O200)+IF(P200="",0,P200)+IF(Q200="",0,Q200)+IF(R200="",0,R200),1))</f>
        <v/>
      </c>
      <c r="AB200">
        <f>IF(I200="","",ROUND(IF(K200="",0,K200)+IF(L200="",0,L200)+IF(M200="",0,M200)+IF(N200="",0,N200)+IF(O200="",0,O200)+IF(P200="",0,P200)+IF(Q200="",0,Q200)+IF(R200="",0,R200),1))</f>
        <v/>
      </c>
      <c r="AD200">
        <f>IF(A200="","",A200&amp;"-"&amp;TEXT(C200,"yyyymmdd"))</f>
        <v/>
      </c>
    </row>
    <row r="201">
      <c r="B201">
        <f>IFERROR(INDEX(TablaDeportistas[primerApellido],MATCH(A201,TablaDeportistas[ID_Deportista],0))&amp;" "&amp;INDEX(TablaDeportistas[nombres],MATCH(A201,TablaDeportistas[ID_Deportista],0)),"")</f>
        <v/>
      </c>
      <c r="Z201">
        <f>IF(OR(I201="",J201=""),"",ROUND(I201/((J201/100)^2),2))</f>
        <v/>
      </c>
      <c r="AA201">
        <f>IF(I201="","",ROUND(IF(K201="",0,K201)+IF(L201="",0,L201)+IF(O201="",0,O201)+IF(P201="",0,P201)+IF(Q201="",0,Q201)+IF(R201="",0,R201),1))</f>
        <v/>
      </c>
      <c r="AB201">
        <f>IF(I201="","",ROUND(IF(K201="",0,K201)+IF(L201="",0,L201)+IF(M201="",0,M201)+IF(N201="",0,N201)+IF(O201="",0,O201)+IF(P201="",0,P201)+IF(Q201="",0,Q201)+IF(R201="",0,R201),1))</f>
        <v/>
      </c>
      <c r="AD201">
        <f>IF(A201="","",A201&amp;"-"&amp;TEXT(C201,"yyyymmdd"))</f>
        <v/>
      </c>
    </row>
    <row r="202">
      <c r="B202">
        <f>IFERROR(INDEX(TablaDeportistas[primerApellido],MATCH(A202,TablaDeportistas[ID_Deportista],0))&amp;" "&amp;INDEX(TablaDeportistas[nombres],MATCH(A202,TablaDeportistas[ID_Deportista],0)),"")</f>
        <v/>
      </c>
      <c r="Z202">
        <f>IF(OR(I202="",J202=""),"",ROUND(I202/((J202/100)^2),2))</f>
        <v/>
      </c>
      <c r="AA202">
        <f>IF(I202="","",ROUND(IF(K202="",0,K202)+IF(L202="",0,L202)+IF(O202="",0,O202)+IF(P202="",0,P202)+IF(Q202="",0,Q202)+IF(R202="",0,R202),1))</f>
        <v/>
      </c>
      <c r="AB202">
        <f>IF(I202="","",ROUND(IF(K202="",0,K202)+IF(L202="",0,L202)+IF(M202="",0,M202)+IF(N202="",0,N202)+IF(O202="",0,O202)+IF(P202="",0,P202)+IF(Q202="",0,Q202)+IF(R202="",0,R202),1))</f>
        <v/>
      </c>
      <c r="AD202">
        <f>IF(A202="","",A202&amp;"-"&amp;TEXT(C202,"yyyymmdd"))</f>
        <v/>
      </c>
    </row>
    <row r="203">
      <c r="B203">
        <f>IFERROR(INDEX(TablaDeportistas[primerApellido],MATCH(A203,TablaDeportistas[ID_Deportista],0))&amp;" "&amp;INDEX(TablaDeportistas[nombres],MATCH(A203,TablaDeportistas[ID_Deportista],0)),"")</f>
        <v/>
      </c>
      <c r="Z203">
        <f>IF(OR(I203="",J203=""),"",ROUND(I203/((J203/100)^2),2))</f>
        <v/>
      </c>
      <c r="AA203">
        <f>IF(I203="","",ROUND(IF(K203="",0,K203)+IF(L203="",0,L203)+IF(O203="",0,O203)+IF(P203="",0,P203)+IF(Q203="",0,Q203)+IF(R203="",0,R203),1))</f>
        <v/>
      </c>
      <c r="AB203">
        <f>IF(I203="","",ROUND(IF(K203="",0,K203)+IF(L203="",0,L203)+IF(M203="",0,M203)+IF(N203="",0,N203)+IF(O203="",0,O203)+IF(P203="",0,P203)+IF(Q203="",0,Q203)+IF(R203="",0,R203),1))</f>
        <v/>
      </c>
      <c r="AD203">
        <f>IF(A203="","",A203&amp;"-"&amp;TEXT(C203,"yyyymmdd"))</f>
        <v/>
      </c>
    </row>
    <row r="204">
      <c r="B204">
        <f>IFERROR(INDEX(TablaDeportistas[primerApellido],MATCH(A204,TablaDeportistas[ID_Deportista],0))&amp;" "&amp;INDEX(TablaDeportistas[nombres],MATCH(A204,TablaDeportistas[ID_Deportista],0)),"")</f>
        <v/>
      </c>
      <c r="Z204">
        <f>IF(OR(I204="",J204=""),"",ROUND(I204/((J204/100)^2),2))</f>
        <v/>
      </c>
      <c r="AA204">
        <f>IF(I204="","",ROUND(IF(K204="",0,K204)+IF(L204="",0,L204)+IF(O204="",0,O204)+IF(P204="",0,P204)+IF(Q204="",0,Q204)+IF(R204="",0,R204),1))</f>
        <v/>
      </c>
      <c r="AB204">
        <f>IF(I204="","",ROUND(IF(K204="",0,K204)+IF(L204="",0,L204)+IF(M204="",0,M204)+IF(N204="",0,N204)+IF(O204="",0,O204)+IF(P204="",0,P204)+IF(Q204="",0,Q204)+IF(R204="",0,R204),1))</f>
        <v/>
      </c>
      <c r="AD204">
        <f>IF(A204="","",A204&amp;"-"&amp;TEXT(C204,"yyyymmdd"))</f>
        <v/>
      </c>
    </row>
    <row r="205">
      <c r="B205">
        <f>IFERROR(INDEX(TablaDeportistas[primerApellido],MATCH(A205,TablaDeportistas[ID_Deportista],0))&amp;" "&amp;INDEX(TablaDeportistas[nombres],MATCH(A205,TablaDeportistas[ID_Deportista],0)),"")</f>
        <v/>
      </c>
      <c r="Z205">
        <f>IF(OR(I205="",J205=""),"",ROUND(I205/((J205/100)^2),2))</f>
        <v/>
      </c>
      <c r="AA205">
        <f>IF(I205="","",ROUND(IF(K205="",0,K205)+IF(L205="",0,L205)+IF(O205="",0,O205)+IF(P205="",0,P205)+IF(Q205="",0,Q205)+IF(R205="",0,R205),1))</f>
        <v/>
      </c>
      <c r="AB205">
        <f>IF(I205="","",ROUND(IF(K205="",0,K205)+IF(L205="",0,L205)+IF(M205="",0,M205)+IF(N205="",0,N205)+IF(O205="",0,O205)+IF(P205="",0,P205)+IF(Q205="",0,Q205)+IF(R205="",0,R205),1))</f>
        <v/>
      </c>
      <c r="AD205">
        <f>IF(A205="","",A205&amp;"-"&amp;TEXT(C205,"yyyymmdd"))</f>
        <v/>
      </c>
    </row>
    <row r="206">
      <c r="B206">
        <f>IFERROR(INDEX(TablaDeportistas[primerApellido],MATCH(A206,TablaDeportistas[ID_Deportista],0))&amp;" "&amp;INDEX(TablaDeportistas[nombres],MATCH(A206,TablaDeportistas[ID_Deportista],0)),"")</f>
        <v/>
      </c>
      <c r="Z206">
        <f>IF(OR(I206="",J206=""),"",ROUND(I206/((J206/100)^2),2))</f>
        <v/>
      </c>
      <c r="AA206">
        <f>IF(I206="","",ROUND(IF(K206="",0,K206)+IF(L206="",0,L206)+IF(O206="",0,O206)+IF(P206="",0,P206)+IF(Q206="",0,Q206)+IF(R206="",0,R206),1))</f>
        <v/>
      </c>
      <c r="AB206">
        <f>IF(I206="","",ROUND(IF(K206="",0,K206)+IF(L206="",0,L206)+IF(M206="",0,M206)+IF(N206="",0,N206)+IF(O206="",0,O206)+IF(P206="",0,P206)+IF(Q206="",0,Q206)+IF(R206="",0,R206),1))</f>
        <v/>
      </c>
      <c r="AD206">
        <f>IF(A206="","",A206&amp;"-"&amp;TEXT(C206,"yyyymmdd"))</f>
        <v/>
      </c>
    </row>
    <row r="207">
      <c r="B207">
        <f>IFERROR(INDEX(TablaDeportistas[primerApellido],MATCH(A207,TablaDeportistas[ID_Deportista],0))&amp;" "&amp;INDEX(TablaDeportistas[nombres],MATCH(A207,TablaDeportistas[ID_Deportista],0)),"")</f>
        <v/>
      </c>
      <c r="Z207">
        <f>IF(OR(I207="",J207=""),"",ROUND(I207/((J207/100)^2),2))</f>
        <v/>
      </c>
      <c r="AA207">
        <f>IF(I207="","",ROUND(IF(K207="",0,K207)+IF(L207="",0,L207)+IF(O207="",0,O207)+IF(P207="",0,P207)+IF(Q207="",0,Q207)+IF(R207="",0,R207),1))</f>
        <v/>
      </c>
      <c r="AB207">
        <f>IF(I207="","",ROUND(IF(K207="",0,K207)+IF(L207="",0,L207)+IF(M207="",0,M207)+IF(N207="",0,N207)+IF(O207="",0,O207)+IF(P207="",0,P207)+IF(Q207="",0,Q207)+IF(R207="",0,R207),1))</f>
        <v/>
      </c>
      <c r="AD207">
        <f>IF(A207="","",A207&amp;"-"&amp;TEXT(C207,"yyyymmdd"))</f>
        <v/>
      </c>
    </row>
    <row r="208">
      <c r="B208">
        <f>IFERROR(INDEX(TablaDeportistas[primerApellido],MATCH(A208,TablaDeportistas[ID_Deportista],0))&amp;" "&amp;INDEX(TablaDeportistas[nombres],MATCH(A208,TablaDeportistas[ID_Deportista],0)),"")</f>
        <v/>
      </c>
      <c r="Z208">
        <f>IF(OR(I208="",J208=""),"",ROUND(I208/((J208/100)^2),2))</f>
        <v/>
      </c>
      <c r="AA208">
        <f>IF(I208="","",ROUND(IF(K208="",0,K208)+IF(L208="",0,L208)+IF(O208="",0,O208)+IF(P208="",0,P208)+IF(Q208="",0,Q208)+IF(R208="",0,R208),1))</f>
        <v/>
      </c>
      <c r="AB208">
        <f>IF(I208="","",ROUND(IF(K208="",0,K208)+IF(L208="",0,L208)+IF(M208="",0,M208)+IF(N208="",0,N208)+IF(O208="",0,O208)+IF(P208="",0,P208)+IF(Q208="",0,Q208)+IF(R208="",0,R208),1))</f>
        <v/>
      </c>
      <c r="AD208">
        <f>IF(A208="","",A208&amp;"-"&amp;TEXT(C208,"yyyymmdd"))</f>
        <v/>
      </c>
    </row>
    <row r="209">
      <c r="B209">
        <f>IFERROR(INDEX(TablaDeportistas[primerApellido],MATCH(A209,TablaDeportistas[ID_Deportista],0))&amp;" "&amp;INDEX(TablaDeportistas[nombres],MATCH(A209,TablaDeportistas[ID_Deportista],0)),"")</f>
        <v/>
      </c>
      <c r="Z209">
        <f>IF(OR(I209="",J209=""),"",ROUND(I209/((J209/100)^2),2))</f>
        <v/>
      </c>
      <c r="AA209">
        <f>IF(I209="","",ROUND(IF(K209="",0,K209)+IF(L209="",0,L209)+IF(O209="",0,O209)+IF(P209="",0,P209)+IF(Q209="",0,Q209)+IF(R209="",0,R209),1))</f>
        <v/>
      </c>
      <c r="AB209">
        <f>IF(I209="","",ROUND(IF(K209="",0,K209)+IF(L209="",0,L209)+IF(M209="",0,M209)+IF(N209="",0,N209)+IF(O209="",0,O209)+IF(P209="",0,P209)+IF(Q209="",0,Q209)+IF(R209="",0,R209),1))</f>
        <v/>
      </c>
      <c r="AD209">
        <f>IF(A209="","",A209&amp;"-"&amp;TEXT(C209,"yyyymmdd"))</f>
        <v/>
      </c>
    </row>
    <row r="210">
      <c r="B210">
        <f>IFERROR(INDEX(TablaDeportistas[primerApellido],MATCH(A210,TablaDeportistas[ID_Deportista],0))&amp;" "&amp;INDEX(TablaDeportistas[nombres],MATCH(A210,TablaDeportistas[ID_Deportista],0)),"")</f>
        <v/>
      </c>
      <c r="Z210">
        <f>IF(OR(I210="",J210=""),"",ROUND(I210/((J210/100)^2),2))</f>
        <v/>
      </c>
      <c r="AA210">
        <f>IF(I210="","",ROUND(IF(K210="",0,K210)+IF(L210="",0,L210)+IF(O210="",0,O210)+IF(P210="",0,P210)+IF(Q210="",0,Q210)+IF(R210="",0,R210),1))</f>
        <v/>
      </c>
      <c r="AB210">
        <f>IF(I210="","",ROUND(IF(K210="",0,K210)+IF(L210="",0,L210)+IF(M210="",0,M210)+IF(N210="",0,N210)+IF(O210="",0,O210)+IF(P210="",0,P210)+IF(Q210="",0,Q210)+IF(R210="",0,R210),1))</f>
        <v/>
      </c>
      <c r="AD210">
        <f>IF(A210="","",A210&amp;"-"&amp;TEXT(C210,"yyyymmdd"))</f>
        <v/>
      </c>
    </row>
    <row r="211">
      <c r="B211">
        <f>IFERROR(INDEX(TablaDeportistas[primerApellido],MATCH(A211,TablaDeportistas[ID_Deportista],0))&amp;" "&amp;INDEX(TablaDeportistas[nombres],MATCH(A211,TablaDeportistas[ID_Deportista],0)),"")</f>
        <v/>
      </c>
      <c r="Z211">
        <f>IF(OR(I211="",J211=""),"",ROUND(I211/((J211/100)^2),2))</f>
        <v/>
      </c>
      <c r="AA211">
        <f>IF(I211="","",ROUND(IF(K211="",0,K211)+IF(L211="",0,L211)+IF(O211="",0,O211)+IF(P211="",0,P211)+IF(Q211="",0,Q211)+IF(R211="",0,R211),1))</f>
        <v/>
      </c>
      <c r="AB211">
        <f>IF(I211="","",ROUND(IF(K211="",0,K211)+IF(L211="",0,L211)+IF(M211="",0,M211)+IF(N211="",0,N211)+IF(O211="",0,O211)+IF(P211="",0,P211)+IF(Q211="",0,Q211)+IF(R211="",0,R211),1))</f>
        <v/>
      </c>
      <c r="AD211">
        <f>IF(A211="","",A211&amp;"-"&amp;TEXT(C211,"yyyymmdd"))</f>
        <v/>
      </c>
    </row>
    <row r="212">
      <c r="B212">
        <f>IFERROR(INDEX(TablaDeportistas[primerApellido],MATCH(A212,TablaDeportistas[ID_Deportista],0))&amp;" "&amp;INDEX(TablaDeportistas[nombres],MATCH(A212,TablaDeportistas[ID_Deportista],0)),"")</f>
        <v/>
      </c>
      <c r="Z212">
        <f>IF(OR(I212="",J212=""),"",ROUND(I212/((J212/100)^2),2))</f>
        <v/>
      </c>
      <c r="AA212">
        <f>IF(I212="","",ROUND(IF(K212="",0,K212)+IF(L212="",0,L212)+IF(O212="",0,O212)+IF(P212="",0,P212)+IF(Q212="",0,Q212)+IF(R212="",0,R212),1))</f>
        <v/>
      </c>
      <c r="AB212">
        <f>IF(I212="","",ROUND(IF(K212="",0,K212)+IF(L212="",0,L212)+IF(M212="",0,M212)+IF(N212="",0,N212)+IF(O212="",0,O212)+IF(P212="",0,P212)+IF(Q212="",0,Q212)+IF(R212="",0,R212),1))</f>
        <v/>
      </c>
      <c r="AD212">
        <f>IF(A212="","",A212&amp;"-"&amp;TEXT(C212,"yyyymmdd"))</f>
        <v/>
      </c>
    </row>
    <row r="213">
      <c r="B213">
        <f>IFERROR(INDEX(TablaDeportistas[primerApellido],MATCH(A213,TablaDeportistas[ID_Deportista],0))&amp;" "&amp;INDEX(TablaDeportistas[nombres],MATCH(A213,TablaDeportistas[ID_Deportista],0)),"")</f>
        <v/>
      </c>
      <c r="Z213">
        <f>IF(OR(I213="",J213=""),"",ROUND(I213/((J213/100)^2),2))</f>
        <v/>
      </c>
      <c r="AA213">
        <f>IF(I213="","",ROUND(IF(K213="",0,K213)+IF(L213="",0,L213)+IF(O213="",0,O213)+IF(P213="",0,P213)+IF(Q213="",0,Q213)+IF(R213="",0,R213),1))</f>
        <v/>
      </c>
      <c r="AB213">
        <f>IF(I213="","",ROUND(IF(K213="",0,K213)+IF(L213="",0,L213)+IF(M213="",0,M213)+IF(N213="",0,N213)+IF(O213="",0,O213)+IF(P213="",0,P213)+IF(Q213="",0,Q213)+IF(R213="",0,R213),1))</f>
        <v/>
      </c>
      <c r="AD213">
        <f>IF(A213="","",A213&amp;"-"&amp;TEXT(C213,"yyyymmdd"))</f>
        <v/>
      </c>
    </row>
    <row r="214">
      <c r="B214">
        <f>IFERROR(INDEX(TablaDeportistas[primerApellido],MATCH(A214,TablaDeportistas[ID_Deportista],0))&amp;" "&amp;INDEX(TablaDeportistas[nombres],MATCH(A214,TablaDeportistas[ID_Deportista],0)),"")</f>
        <v/>
      </c>
      <c r="Z214">
        <f>IF(OR(I214="",J214=""),"",ROUND(I214/((J214/100)^2),2))</f>
        <v/>
      </c>
      <c r="AA214">
        <f>IF(I214="","",ROUND(IF(K214="",0,K214)+IF(L214="",0,L214)+IF(O214="",0,O214)+IF(P214="",0,P214)+IF(Q214="",0,Q214)+IF(R214="",0,R214),1))</f>
        <v/>
      </c>
      <c r="AB214">
        <f>IF(I214="","",ROUND(IF(K214="",0,K214)+IF(L214="",0,L214)+IF(M214="",0,M214)+IF(N214="",0,N214)+IF(O214="",0,O214)+IF(P214="",0,P214)+IF(Q214="",0,Q214)+IF(R214="",0,R214),1))</f>
        <v/>
      </c>
      <c r="AD214">
        <f>IF(A214="","",A214&amp;"-"&amp;TEXT(C214,"yyyymmdd"))</f>
        <v/>
      </c>
    </row>
    <row r="215">
      <c r="B215">
        <f>IFERROR(INDEX(TablaDeportistas[primerApellido],MATCH(A215,TablaDeportistas[ID_Deportista],0))&amp;" "&amp;INDEX(TablaDeportistas[nombres],MATCH(A215,TablaDeportistas[ID_Deportista],0)),"")</f>
        <v/>
      </c>
      <c r="Z215">
        <f>IF(OR(I215="",J215=""),"",ROUND(I215/((J215/100)^2),2))</f>
        <v/>
      </c>
      <c r="AA215">
        <f>IF(I215="","",ROUND(IF(K215="",0,K215)+IF(L215="",0,L215)+IF(O215="",0,O215)+IF(P215="",0,P215)+IF(Q215="",0,Q215)+IF(R215="",0,R215),1))</f>
        <v/>
      </c>
      <c r="AB215">
        <f>IF(I215="","",ROUND(IF(K215="",0,K215)+IF(L215="",0,L215)+IF(M215="",0,M215)+IF(N215="",0,N215)+IF(O215="",0,O215)+IF(P215="",0,P215)+IF(Q215="",0,Q215)+IF(R215="",0,R215),1))</f>
        <v/>
      </c>
      <c r="AD215">
        <f>IF(A215="","",A215&amp;"-"&amp;TEXT(C215,"yyyymmdd"))</f>
        <v/>
      </c>
    </row>
    <row r="216">
      <c r="B216">
        <f>IFERROR(INDEX(TablaDeportistas[primerApellido],MATCH(A216,TablaDeportistas[ID_Deportista],0))&amp;" "&amp;INDEX(TablaDeportistas[nombres],MATCH(A216,TablaDeportistas[ID_Deportista],0)),"")</f>
        <v/>
      </c>
      <c r="Z216">
        <f>IF(OR(I216="",J216=""),"",ROUND(I216/((J216/100)^2),2))</f>
        <v/>
      </c>
      <c r="AA216">
        <f>IF(I216="","",ROUND(IF(K216="",0,K216)+IF(L216="",0,L216)+IF(O216="",0,O216)+IF(P216="",0,P216)+IF(Q216="",0,Q216)+IF(R216="",0,R216),1))</f>
        <v/>
      </c>
      <c r="AB216">
        <f>IF(I216="","",ROUND(IF(K216="",0,K216)+IF(L216="",0,L216)+IF(M216="",0,M216)+IF(N216="",0,N216)+IF(O216="",0,O216)+IF(P216="",0,P216)+IF(Q216="",0,Q216)+IF(R216="",0,R216),1))</f>
        <v/>
      </c>
      <c r="AD216">
        <f>IF(A216="","",A216&amp;"-"&amp;TEXT(C216,"yyyymmdd"))</f>
        <v/>
      </c>
    </row>
    <row r="217">
      <c r="B217">
        <f>IFERROR(INDEX(TablaDeportistas[primerApellido],MATCH(A217,TablaDeportistas[ID_Deportista],0))&amp;" "&amp;INDEX(TablaDeportistas[nombres],MATCH(A217,TablaDeportistas[ID_Deportista],0)),"")</f>
        <v/>
      </c>
      <c r="Z217">
        <f>IF(OR(I217="",J217=""),"",ROUND(I217/((J217/100)^2),2))</f>
        <v/>
      </c>
      <c r="AA217">
        <f>IF(I217="","",ROUND(IF(K217="",0,K217)+IF(L217="",0,L217)+IF(O217="",0,O217)+IF(P217="",0,P217)+IF(Q217="",0,Q217)+IF(R217="",0,R217),1))</f>
        <v/>
      </c>
      <c r="AB217">
        <f>IF(I217="","",ROUND(IF(K217="",0,K217)+IF(L217="",0,L217)+IF(M217="",0,M217)+IF(N217="",0,N217)+IF(O217="",0,O217)+IF(P217="",0,P217)+IF(Q217="",0,Q217)+IF(R217="",0,R217),1))</f>
        <v/>
      </c>
      <c r="AD217">
        <f>IF(A217="","",A217&amp;"-"&amp;TEXT(C217,"yyyymmdd"))</f>
        <v/>
      </c>
    </row>
    <row r="218">
      <c r="B218">
        <f>IFERROR(INDEX(TablaDeportistas[primerApellido],MATCH(A218,TablaDeportistas[ID_Deportista],0))&amp;" "&amp;INDEX(TablaDeportistas[nombres],MATCH(A218,TablaDeportistas[ID_Deportista],0)),"")</f>
        <v/>
      </c>
      <c r="Z218">
        <f>IF(OR(I218="",J218=""),"",ROUND(I218/((J218/100)^2),2))</f>
        <v/>
      </c>
      <c r="AA218">
        <f>IF(I218="","",ROUND(IF(K218="",0,K218)+IF(L218="",0,L218)+IF(O218="",0,O218)+IF(P218="",0,P218)+IF(Q218="",0,Q218)+IF(R218="",0,R218),1))</f>
        <v/>
      </c>
      <c r="AB218">
        <f>IF(I218="","",ROUND(IF(K218="",0,K218)+IF(L218="",0,L218)+IF(M218="",0,M218)+IF(N218="",0,N218)+IF(O218="",0,O218)+IF(P218="",0,P218)+IF(Q218="",0,Q218)+IF(R218="",0,R218),1))</f>
        <v/>
      </c>
      <c r="AD218">
        <f>IF(A218="","",A218&amp;"-"&amp;TEXT(C218,"yyyymmdd"))</f>
        <v/>
      </c>
    </row>
    <row r="219">
      <c r="B219">
        <f>IFERROR(INDEX(TablaDeportistas[primerApellido],MATCH(A219,TablaDeportistas[ID_Deportista],0))&amp;" "&amp;INDEX(TablaDeportistas[nombres],MATCH(A219,TablaDeportistas[ID_Deportista],0)),"")</f>
        <v/>
      </c>
      <c r="Z219">
        <f>IF(OR(I219="",J219=""),"",ROUND(I219/((J219/100)^2),2))</f>
        <v/>
      </c>
      <c r="AA219">
        <f>IF(I219="","",ROUND(IF(K219="",0,K219)+IF(L219="",0,L219)+IF(O219="",0,O219)+IF(P219="",0,P219)+IF(Q219="",0,Q219)+IF(R219="",0,R219),1))</f>
        <v/>
      </c>
      <c r="AB219">
        <f>IF(I219="","",ROUND(IF(K219="",0,K219)+IF(L219="",0,L219)+IF(M219="",0,M219)+IF(N219="",0,N219)+IF(O219="",0,O219)+IF(P219="",0,P219)+IF(Q219="",0,Q219)+IF(R219="",0,R219),1))</f>
        <v/>
      </c>
      <c r="AD219">
        <f>IF(A219="","",A219&amp;"-"&amp;TEXT(C219,"yyyymmdd"))</f>
        <v/>
      </c>
    </row>
    <row r="220">
      <c r="B220">
        <f>IFERROR(INDEX(TablaDeportistas[primerApellido],MATCH(A220,TablaDeportistas[ID_Deportista],0))&amp;" "&amp;INDEX(TablaDeportistas[nombres],MATCH(A220,TablaDeportistas[ID_Deportista],0)),"")</f>
        <v/>
      </c>
      <c r="Z220">
        <f>IF(OR(I220="",J220=""),"",ROUND(I220/((J220/100)^2),2))</f>
        <v/>
      </c>
      <c r="AA220">
        <f>IF(I220="","",ROUND(IF(K220="",0,K220)+IF(L220="",0,L220)+IF(O220="",0,O220)+IF(P220="",0,P220)+IF(Q220="",0,Q220)+IF(R220="",0,R220),1))</f>
        <v/>
      </c>
      <c r="AB220">
        <f>IF(I220="","",ROUND(IF(K220="",0,K220)+IF(L220="",0,L220)+IF(M220="",0,M220)+IF(N220="",0,N220)+IF(O220="",0,O220)+IF(P220="",0,P220)+IF(Q220="",0,Q220)+IF(R220="",0,R220),1))</f>
        <v/>
      </c>
      <c r="AD220">
        <f>IF(A220="","",A220&amp;"-"&amp;TEXT(C220,"yyyymmdd"))</f>
        <v/>
      </c>
    </row>
    <row r="221">
      <c r="B221">
        <f>IFERROR(INDEX(TablaDeportistas[primerApellido],MATCH(A221,TablaDeportistas[ID_Deportista],0))&amp;" "&amp;INDEX(TablaDeportistas[nombres],MATCH(A221,TablaDeportistas[ID_Deportista],0)),"")</f>
        <v/>
      </c>
      <c r="Z221">
        <f>IF(OR(I221="",J221=""),"",ROUND(I221/((J221/100)^2),2))</f>
        <v/>
      </c>
      <c r="AA221">
        <f>IF(I221="","",ROUND(IF(K221="",0,K221)+IF(L221="",0,L221)+IF(O221="",0,O221)+IF(P221="",0,P221)+IF(Q221="",0,Q221)+IF(R221="",0,R221),1))</f>
        <v/>
      </c>
      <c r="AB221">
        <f>IF(I221="","",ROUND(IF(K221="",0,K221)+IF(L221="",0,L221)+IF(M221="",0,M221)+IF(N221="",0,N221)+IF(O221="",0,O221)+IF(P221="",0,P221)+IF(Q221="",0,Q221)+IF(R221="",0,R221),1))</f>
        <v/>
      </c>
      <c r="AD221">
        <f>IF(A221="","",A221&amp;"-"&amp;TEXT(C221,"yyyymmdd"))</f>
        <v/>
      </c>
    </row>
    <row r="222">
      <c r="B222">
        <f>IFERROR(INDEX(TablaDeportistas[primerApellido],MATCH(A222,TablaDeportistas[ID_Deportista],0))&amp;" "&amp;INDEX(TablaDeportistas[nombres],MATCH(A222,TablaDeportistas[ID_Deportista],0)),"")</f>
        <v/>
      </c>
      <c r="Z222">
        <f>IF(OR(I222="",J222=""),"",ROUND(I222/((J222/100)^2),2))</f>
        <v/>
      </c>
      <c r="AA222">
        <f>IF(I222="","",ROUND(IF(K222="",0,K222)+IF(L222="",0,L222)+IF(O222="",0,O222)+IF(P222="",0,P222)+IF(Q222="",0,Q222)+IF(R222="",0,R222),1))</f>
        <v/>
      </c>
      <c r="AB222">
        <f>IF(I222="","",ROUND(IF(K222="",0,K222)+IF(L222="",0,L222)+IF(M222="",0,M222)+IF(N222="",0,N222)+IF(O222="",0,O222)+IF(P222="",0,P222)+IF(Q222="",0,Q222)+IF(R222="",0,R222),1))</f>
        <v/>
      </c>
      <c r="AD222">
        <f>IF(A222="","",A222&amp;"-"&amp;TEXT(C222,"yyyymmdd"))</f>
        <v/>
      </c>
    </row>
    <row r="223">
      <c r="B223">
        <f>IFERROR(INDEX(TablaDeportistas[primerApellido],MATCH(A223,TablaDeportistas[ID_Deportista],0))&amp;" "&amp;INDEX(TablaDeportistas[nombres],MATCH(A223,TablaDeportistas[ID_Deportista],0)),"")</f>
        <v/>
      </c>
      <c r="Z223">
        <f>IF(OR(I223="",J223=""),"",ROUND(I223/((J223/100)^2),2))</f>
        <v/>
      </c>
      <c r="AA223">
        <f>IF(I223="","",ROUND(IF(K223="",0,K223)+IF(L223="",0,L223)+IF(O223="",0,O223)+IF(P223="",0,P223)+IF(Q223="",0,Q223)+IF(R223="",0,R223),1))</f>
        <v/>
      </c>
      <c r="AB223">
        <f>IF(I223="","",ROUND(IF(K223="",0,K223)+IF(L223="",0,L223)+IF(M223="",0,M223)+IF(N223="",0,N223)+IF(O223="",0,O223)+IF(P223="",0,P223)+IF(Q223="",0,Q223)+IF(R223="",0,R223),1))</f>
        <v/>
      </c>
      <c r="AD223">
        <f>IF(A223="","",A223&amp;"-"&amp;TEXT(C223,"yyyymmdd"))</f>
        <v/>
      </c>
    </row>
    <row r="224">
      <c r="B224">
        <f>IFERROR(INDEX(TablaDeportistas[primerApellido],MATCH(A224,TablaDeportistas[ID_Deportista],0))&amp;" "&amp;INDEX(TablaDeportistas[nombres],MATCH(A224,TablaDeportistas[ID_Deportista],0)),"")</f>
        <v/>
      </c>
      <c r="Z224">
        <f>IF(OR(I224="",J224=""),"",ROUND(I224/((J224/100)^2),2))</f>
        <v/>
      </c>
      <c r="AA224">
        <f>IF(I224="","",ROUND(IF(K224="",0,K224)+IF(L224="",0,L224)+IF(O224="",0,O224)+IF(P224="",0,P224)+IF(Q224="",0,Q224)+IF(R224="",0,R224),1))</f>
        <v/>
      </c>
      <c r="AB224">
        <f>IF(I224="","",ROUND(IF(K224="",0,K224)+IF(L224="",0,L224)+IF(M224="",0,M224)+IF(N224="",0,N224)+IF(O224="",0,O224)+IF(P224="",0,P224)+IF(Q224="",0,Q224)+IF(R224="",0,R224),1))</f>
        <v/>
      </c>
      <c r="AD224">
        <f>IF(A224="","",A224&amp;"-"&amp;TEXT(C224,"yyyymmdd"))</f>
        <v/>
      </c>
    </row>
    <row r="225">
      <c r="B225">
        <f>IFERROR(INDEX(TablaDeportistas[primerApellido],MATCH(A225,TablaDeportistas[ID_Deportista],0))&amp;" "&amp;INDEX(TablaDeportistas[nombres],MATCH(A225,TablaDeportistas[ID_Deportista],0)),"")</f>
        <v/>
      </c>
      <c r="Z225">
        <f>IF(OR(I225="",J225=""),"",ROUND(I225/((J225/100)^2),2))</f>
        <v/>
      </c>
      <c r="AA225">
        <f>IF(I225="","",ROUND(IF(K225="",0,K225)+IF(L225="",0,L225)+IF(O225="",0,O225)+IF(P225="",0,P225)+IF(Q225="",0,Q225)+IF(R225="",0,R225),1))</f>
        <v/>
      </c>
      <c r="AB225">
        <f>IF(I225="","",ROUND(IF(K225="",0,K225)+IF(L225="",0,L225)+IF(M225="",0,M225)+IF(N225="",0,N225)+IF(O225="",0,O225)+IF(P225="",0,P225)+IF(Q225="",0,Q225)+IF(R225="",0,R225),1))</f>
        <v/>
      </c>
      <c r="AD225">
        <f>IF(A225="","",A225&amp;"-"&amp;TEXT(C225,"yyyymmdd"))</f>
        <v/>
      </c>
    </row>
    <row r="226">
      <c r="B226">
        <f>IFERROR(INDEX(TablaDeportistas[primerApellido],MATCH(A226,TablaDeportistas[ID_Deportista],0))&amp;" "&amp;INDEX(TablaDeportistas[nombres],MATCH(A226,TablaDeportistas[ID_Deportista],0)),"")</f>
        <v/>
      </c>
      <c r="Z226">
        <f>IF(OR(I226="",J226=""),"",ROUND(I226/((J226/100)^2),2))</f>
        <v/>
      </c>
      <c r="AA226">
        <f>IF(I226="","",ROUND(IF(K226="",0,K226)+IF(L226="",0,L226)+IF(O226="",0,O226)+IF(P226="",0,P226)+IF(Q226="",0,Q226)+IF(R226="",0,R226),1))</f>
        <v/>
      </c>
      <c r="AB226">
        <f>IF(I226="","",ROUND(IF(K226="",0,K226)+IF(L226="",0,L226)+IF(M226="",0,M226)+IF(N226="",0,N226)+IF(O226="",0,O226)+IF(P226="",0,P226)+IF(Q226="",0,Q226)+IF(R226="",0,R226),1))</f>
        <v/>
      </c>
      <c r="AD226">
        <f>IF(A226="","",A226&amp;"-"&amp;TEXT(C226,"yyyymmdd"))</f>
        <v/>
      </c>
    </row>
    <row r="227">
      <c r="B227">
        <f>IFERROR(INDEX(TablaDeportistas[primerApellido],MATCH(A227,TablaDeportistas[ID_Deportista],0))&amp;" "&amp;INDEX(TablaDeportistas[nombres],MATCH(A227,TablaDeportistas[ID_Deportista],0)),"")</f>
        <v/>
      </c>
      <c r="Z227">
        <f>IF(OR(I227="",J227=""),"",ROUND(I227/((J227/100)^2),2))</f>
        <v/>
      </c>
      <c r="AA227">
        <f>IF(I227="","",ROUND(IF(K227="",0,K227)+IF(L227="",0,L227)+IF(O227="",0,O227)+IF(P227="",0,P227)+IF(Q227="",0,Q227)+IF(R227="",0,R227),1))</f>
        <v/>
      </c>
      <c r="AB227">
        <f>IF(I227="","",ROUND(IF(K227="",0,K227)+IF(L227="",0,L227)+IF(M227="",0,M227)+IF(N227="",0,N227)+IF(O227="",0,O227)+IF(P227="",0,P227)+IF(Q227="",0,Q227)+IF(R227="",0,R227),1))</f>
        <v/>
      </c>
      <c r="AD227">
        <f>IF(A227="","",A227&amp;"-"&amp;TEXT(C227,"yyyymmdd"))</f>
        <v/>
      </c>
    </row>
    <row r="228">
      <c r="B228">
        <f>IFERROR(INDEX(TablaDeportistas[primerApellido],MATCH(A228,TablaDeportistas[ID_Deportista],0))&amp;" "&amp;INDEX(TablaDeportistas[nombres],MATCH(A228,TablaDeportistas[ID_Deportista],0)),"")</f>
        <v/>
      </c>
      <c r="Z228">
        <f>IF(OR(I228="",J228=""),"",ROUND(I228/((J228/100)^2),2))</f>
        <v/>
      </c>
      <c r="AA228">
        <f>IF(I228="","",ROUND(IF(K228="",0,K228)+IF(L228="",0,L228)+IF(O228="",0,O228)+IF(P228="",0,P228)+IF(Q228="",0,Q228)+IF(R228="",0,R228),1))</f>
        <v/>
      </c>
      <c r="AB228">
        <f>IF(I228="","",ROUND(IF(K228="",0,K228)+IF(L228="",0,L228)+IF(M228="",0,M228)+IF(N228="",0,N228)+IF(O228="",0,O228)+IF(P228="",0,P228)+IF(Q228="",0,Q228)+IF(R228="",0,R228),1))</f>
        <v/>
      </c>
      <c r="AD228">
        <f>IF(A228="","",A228&amp;"-"&amp;TEXT(C228,"yyyymmdd"))</f>
        <v/>
      </c>
    </row>
    <row r="229">
      <c r="B229">
        <f>IFERROR(INDEX(TablaDeportistas[primerApellido],MATCH(A229,TablaDeportistas[ID_Deportista],0))&amp;" "&amp;INDEX(TablaDeportistas[nombres],MATCH(A229,TablaDeportistas[ID_Deportista],0)),"")</f>
        <v/>
      </c>
      <c r="Z229">
        <f>IF(OR(I229="",J229=""),"",ROUND(I229/((J229/100)^2),2))</f>
        <v/>
      </c>
      <c r="AA229">
        <f>IF(I229="","",ROUND(IF(K229="",0,K229)+IF(L229="",0,L229)+IF(O229="",0,O229)+IF(P229="",0,P229)+IF(Q229="",0,Q229)+IF(R229="",0,R229),1))</f>
        <v/>
      </c>
      <c r="AB229">
        <f>IF(I229="","",ROUND(IF(K229="",0,K229)+IF(L229="",0,L229)+IF(M229="",0,M229)+IF(N229="",0,N229)+IF(O229="",0,O229)+IF(P229="",0,P229)+IF(Q229="",0,Q229)+IF(R229="",0,R229),1))</f>
        <v/>
      </c>
      <c r="AD229">
        <f>IF(A229="","",A229&amp;"-"&amp;TEXT(C229,"yyyymmdd"))</f>
        <v/>
      </c>
    </row>
    <row r="230">
      <c r="B230">
        <f>IFERROR(INDEX(TablaDeportistas[primerApellido],MATCH(A230,TablaDeportistas[ID_Deportista],0))&amp;" "&amp;INDEX(TablaDeportistas[nombres],MATCH(A230,TablaDeportistas[ID_Deportista],0)),"")</f>
        <v/>
      </c>
      <c r="Z230">
        <f>IF(OR(I230="",J230=""),"",ROUND(I230/((J230/100)^2),2))</f>
        <v/>
      </c>
      <c r="AA230">
        <f>IF(I230="","",ROUND(IF(K230="",0,K230)+IF(L230="",0,L230)+IF(O230="",0,O230)+IF(P230="",0,P230)+IF(Q230="",0,Q230)+IF(R230="",0,R230),1))</f>
        <v/>
      </c>
      <c r="AB230">
        <f>IF(I230="","",ROUND(IF(K230="",0,K230)+IF(L230="",0,L230)+IF(M230="",0,M230)+IF(N230="",0,N230)+IF(O230="",0,O230)+IF(P230="",0,P230)+IF(Q230="",0,Q230)+IF(R230="",0,R230),1))</f>
        <v/>
      </c>
      <c r="AD230">
        <f>IF(A230="","",A230&amp;"-"&amp;TEXT(C230,"yyyymmdd"))</f>
        <v/>
      </c>
    </row>
    <row r="231">
      <c r="B231">
        <f>IFERROR(INDEX(TablaDeportistas[primerApellido],MATCH(A231,TablaDeportistas[ID_Deportista],0))&amp;" "&amp;INDEX(TablaDeportistas[nombres],MATCH(A231,TablaDeportistas[ID_Deportista],0)),"")</f>
        <v/>
      </c>
      <c r="Z231">
        <f>IF(OR(I231="",J231=""),"",ROUND(I231/((J231/100)^2),2))</f>
        <v/>
      </c>
      <c r="AA231">
        <f>IF(I231="","",ROUND(IF(K231="",0,K231)+IF(L231="",0,L231)+IF(O231="",0,O231)+IF(P231="",0,P231)+IF(Q231="",0,Q231)+IF(R231="",0,R231),1))</f>
        <v/>
      </c>
      <c r="AB231">
        <f>IF(I231="","",ROUND(IF(K231="",0,K231)+IF(L231="",0,L231)+IF(M231="",0,M231)+IF(N231="",0,N231)+IF(O231="",0,O231)+IF(P231="",0,P231)+IF(Q231="",0,Q231)+IF(R231="",0,R231),1))</f>
        <v/>
      </c>
      <c r="AD231">
        <f>IF(A231="","",A231&amp;"-"&amp;TEXT(C231,"yyyymmdd"))</f>
        <v/>
      </c>
    </row>
    <row r="232">
      <c r="B232">
        <f>IFERROR(INDEX(TablaDeportistas[primerApellido],MATCH(A232,TablaDeportistas[ID_Deportista],0))&amp;" "&amp;INDEX(TablaDeportistas[nombres],MATCH(A232,TablaDeportistas[ID_Deportista],0)),"")</f>
        <v/>
      </c>
      <c r="Z232">
        <f>IF(OR(I232="",J232=""),"",ROUND(I232/((J232/100)^2),2))</f>
        <v/>
      </c>
      <c r="AA232">
        <f>IF(I232="","",ROUND(IF(K232="",0,K232)+IF(L232="",0,L232)+IF(O232="",0,O232)+IF(P232="",0,P232)+IF(Q232="",0,Q232)+IF(R232="",0,R232),1))</f>
        <v/>
      </c>
      <c r="AB232">
        <f>IF(I232="","",ROUND(IF(K232="",0,K232)+IF(L232="",0,L232)+IF(M232="",0,M232)+IF(N232="",0,N232)+IF(O232="",0,O232)+IF(P232="",0,P232)+IF(Q232="",0,Q232)+IF(R232="",0,R232),1))</f>
        <v/>
      </c>
      <c r="AD232">
        <f>IF(A232="","",A232&amp;"-"&amp;TEXT(C232,"yyyymmdd"))</f>
        <v/>
      </c>
    </row>
    <row r="233">
      <c r="B233">
        <f>IFERROR(INDEX(TablaDeportistas[primerApellido],MATCH(A233,TablaDeportistas[ID_Deportista],0))&amp;" "&amp;INDEX(TablaDeportistas[nombres],MATCH(A233,TablaDeportistas[ID_Deportista],0)),"")</f>
        <v/>
      </c>
      <c r="Z233">
        <f>IF(OR(I233="",J233=""),"",ROUND(I233/((J233/100)^2),2))</f>
        <v/>
      </c>
      <c r="AA233">
        <f>IF(I233="","",ROUND(IF(K233="",0,K233)+IF(L233="",0,L233)+IF(O233="",0,O233)+IF(P233="",0,P233)+IF(Q233="",0,Q233)+IF(R233="",0,R233),1))</f>
        <v/>
      </c>
      <c r="AB233">
        <f>IF(I233="","",ROUND(IF(K233="",0,K233)+IF(L233="",0,L233)+IF(M233="",0,M233)+IF(N233="",0,N233)+IF(O233="",0,O233)+IF(P233="",0,P233)+IF(Q233="",0,Q233)+IF(R233="",0,R233),1))</f>
        <v/>
      </c>
      <c r="AD233">
        <f>IF(A233="","",A233&amp;"-"&amp;TEXT(C233,"yyyymmdd"))</f>
        <v/>
      </c>
    </row>
    <row r="234">
      <c r="B234">
        <f>IFERROR(INDEX(TablaDeportistas[primerApellido],MATCH(A234,TablaDeportistas[ID_Deportista],0))&amp;" "&amp;INDEX(TablaDeportistas[nombres],MATCH(A234,TablaDeportistas[ID_Deportista],0)),"")</f>
        <v/>
      </c>
      <c r="Z234">
        <f>IF(OR(I234="",J234=""),"",ROUND(I234/((J234/100)^2),2))</f>
        <v/>
      </c>
      <c r="AA234">
        <f>IF(I234="","",ROUND(IF(K234="",0,K234)+IF(L234="",0,L234)+IF(O234="",0,O234)+IF(P234="",0,P234)+IF(Q234="",0,Q234)+IF(R234="",0,R234),1))</f>
        <v/>
      </c>
      <c r="AB234">
        <f>IF(I234="","",ROUND(IF(K234="",0,K234)+IF(L234="",0,L234)+IF(M234="",0,M234)+IF(N234="",0,N234)+IF(O234="",0,O234)+IF(P234="",0,P234)+IF(Q234="",0,Q234)+IF(R234="",0,R234),1))</f>
        <v/>
      </c>
      <c r="AD234">
        <f>IF(A234="","",A234&amp;"-"&amp;TEXT(C234,"yyyymmdd"))</f>
        <v/>
      </c>
    </row>
    <row r="235">
      <c r="B235">
        <f>IFERROR(INDEX(TablaDeportistas[primerApellido],MATCH(A235,TablaDeportistas[ID_Deportista],0))&amp;" "&amp;INDEX(TablaDeportistas[nombres],MATCH(A235,TablaDeportistas[ID_Deportista],0)),"")</f>
        <v/>
      </c>
      <c r="Z235">
        <f>IF(OR(I235="",J235=""),"",ROUND(I235/((J235/100)^2),2))</f>
        <v/>
      </c>
      <c r="AA235">
        <f>IF(I235="","",ROUND(IF(K235="",0,K235)+IF(L235="",0,L235)+IF(O235="",0,O235)+IF(P235="",0,P235)+IF(Q235="",0,Q235)+IF(R235="",0,R235),1))</f>
        <v/>
      </c>
      <c r="AB235">
        <f>IF(I235="","",ROUND(IF(K235="",0,K235)+IF(L235="",0,L235)+IF(M235="",0,M235)+IF(N235="",0,N235)+IF(O235="",0,O235)+IF(P235="",0,P235)+IF(Q235="",0,Q235)+IF(R235="",0,R235),1))</f>
        <v/>
      </c>
      <c r="AD235">
        <f>IF(A235="","",A235&amp;"-"&amp;TEXT(C235,"yyyymmdd"))</f>
        <v/>
      </c>
    </row>
    <row r="236">
      <c r="B236">
        <f>IFERROR(INDEX(TablaDeportistas[primerApellido],MATCH(A236,TablaDeportistas[ID_Deportista],0))&amp;" "&amp;INDEX(TablaDeportistas[nombres],MATCH(A236,TablaDeportistas[ID_Deportista],0)),"")</f>
        <v/>
      </c>
      <c r="Z236">
        <f>IF(OR(I236="",J236=""),"",ROUND(I236/((J236/100)^2),2))</f>
        <v/>
      </c>
      <c r="AA236">
        <f>IF(I236="","",ROUND(IF(K236="",0,K236)+IF(L236="",0,L236)+IF(O236="",0,O236)+IF(P236="",0,P236)+IF(Q236="",0,Q236)+IF(R236="",0,R236),1))</f>
        <v/>
      </c>
      <c r="AB236">
        <f>IF(I236="","",ROUND(IF(K236="",0,K236)+IF(L236="",0,L236)+IF(M236="",0,M236)+IF(N236="",0,N236)+IF(O236="",0,O236)+IF(P236="",0,P236)+IF(Q236="",0,Q236)+IF(R236="",0,R236),1))</f>
        <v/>
      </c>
      <c r="AD236">
        <f>IF(A236="","",A236&amp;"-"&amp;TEXT(C236,"yyyymmdd"))</f>
        <v/>
      </c>
    </row>
    <row r="237">
      <c r="B237">
        <f>IFERROR(INDEX(TablaDeportistas[primerApellido],MATCH(A237,TablaDeportistas[ID_Deportista],0))&amp;" "&amp;INDEX(TablaDeportistas[nombres],MATCH(A237,TablaDeportistas[ID_Deportista],0)),"")</f>
        <v/>
      </c>
      <c r="Z237">
        <f>IF(OR(I237="",J237=""),"",ROUND(I237/((J237/100)^2),2))</f>
        <v/>
      </c>
      <c r="AA237">
        <f>IF(I237="","",ROUND(IF(K237="",0,K237)+IF(L237="",0,L237)+IF(O237="",0,O237)+IF(P237="",0,P237)+IF(Q237="",0,Q237)+IF(R237="",0,R237),1))</f>
        <v/>
      </c>
      <c r="AB237">
        <f>IF(I237="","",ROUND(IF(K237="",0,K237)+IF(L237="",0,L237)+IF(M237="",0,M237)+IF(N237="",0,N237)+IF(O237="",0,O237)+IF(P237="",0,P237)+IF(Q237="",0,Q237)+IF(R237="",0,R237),1))</f>
        <v/>
      </c>
      <c r="AD237">
        <f>IF(A237="","",A237&amp;"-"&amp;TEXT(C237,"yyyymmdd"))</f>
        <v/>
      </c>
    </row>
    <row r="238">
      <c r="B238">
        <f>IFERROR(INDEX(TablaDeportistas[primerApellido],MATCH(A238,TablaDeportistas[ID_Deportista],0))&amp;" "&amp;INDEX(TablaDeportistas[nombres],MATCH(A238,TablaDeportistas[ID_Deportista],0)),"")</f>
        <v/>
      </c>
      <c r="Z238">
        <f>IF(OR(I238="",J238=""),"",ROUND(I238/((J238/100)^2),2))</f>
        <v/>
      </c>
      <c r="AA238">
        <f>IF(I238="","",ROUND(IF(K238="",0,K238)+IF(L238="",0,L238)+IF(O238="",0,O238)+IF(P238="",0,P238)+IF(Q238="",0,Q238)+IF(R238="",0,R238),1))</f>
        <v/>
      </c>
      <c r="AB238">
        <f>IF(I238="","",ROUND(IF(K238="",0,K238)+IF(L238="",0,L238)+IF(M238="",0,M238)+IF(N238="",0,N238)+IF(O238="",0,O238)+IF(P238="",0,P238)+IF(Q238="",0,Q238)+IF(R238="",0,R238),1))</f>
        <v/>
      </c>
      <c r="AD238">
        <f>IF(A238="","",A238&amp;"-"&amp;TEXT(C238,"yyyymmdd"))</f>
        <v/>
      </c>
    </row>
    <row r="239">
      <c r="B239">
        <f>IFERROR(INDEX(TablaDeportistas[primerApellido],MATCH(A239,TablaDeportistas[ID_Deportista],0))&amp;" "&amp;INDEX(TablaDeportistas[nombres],MATCH(A239,TablaDeportistas[ID_Deportista],0)),"")</f>
        <v/>
      </c>
      <c r="Z239">
        <f>IF(OR(I239="",J239=""),"",ROUND(I239/((J239/100)^2),2))</f>
        <v/>
      </c>
      <c r="AA239">
        <f>IF(I239="","",ROUND(IF(K239="",0,K239)+IF(L239="",0,L239)+IF(O239="",0,O239)+IF(P239="",0,P239)+IF(Q239="",0,Q239)+IF(R239="",0,R239),1))</f>
        <v/>
      </c>
      <c r="AB239">
        <f>IF(I239="","",ROUND(IF(K239="",0,K239)+IF(L239="",0,L239)+IF(M239="",0,M239)+IF(N239="",0,N239)+IF(O239="",0,O239)+IF(P239="",0,P239)+IF(Q239="",0,Q239)+IF(R239="",0,R239),1))</f>
        <v/>
      </c>
      <c r="AD239">
        <f>IF(A239="","",A239&amp;"-"&amp;TEXT(C239,"yyyymmdd"))</f>
        <v/>
      </c>
    </row>
    <row r="240">
      <c r="B240">
        <f>IFERROR(INDEX(TablaDeportistas[primerApellido],MATCH(A240,TablaDeportistas[ID_Deportista],0))&amp;" "&amp;INDEX(TablaDeportistas[nombres],MATCH(A240,TablaDeportistas[ID_Deportista],0)),"")</f>
        <v/>
      </c>
      <c r="Z240">
        <f>IF(OR(I240="",J240=""),"",ROUND(I240/((J240/100)^2),2))</f>
        <v/>
      </c>
      <c r="AA240">
        <f>IF(I240="","",ROUND(IF(K240="",0,K240)+IF(L240="",0,L240)+IF(O240="",0,O240)+IF(P240="",0,P240)+IF(Q240="",0,Q240)+IF(R240="",0,R240),1))</f>
        <v/>
      </c>
      <c r="AB240">
        <f>IF(I240="","",ROUND(IF(K240="",0,K240)+IF(L240="",0,L240)+IF(M240="",0,M240)+IF(N240="",0,N240)+IF(O240="",0,O240)+IF(P240="",0,P240)+IF(Q240="",0,Q240)+IF(R240="",0,R240),1))</f>
        <v/>
      </c>
      <c r="AD240">
        <f>IF(A240="","",A240&amp;"-"&amp;TEXT(C240,"yyyymmdd"))</f>
        <v/>
      </c>
    </row>
    <row r="241">
      <c r="B241">
        <f>IFERROR(INDEX(TablaDeportistas[primerApellido],MATCH(A241,TablaDeportistas[ID_Deportista],0))&amp;" "&amp;INDEX(TablaDeportistas[nombres],MATCH(A241,TablaDeportistas[ID_Deportista],0)),"")</f>
        <v/>
      </c>
      <c r="Z241">
        <f>IF(OR(I241="",J241=""),"",ROUND(I241/((J241/100)^2),2))</f>
        <v/>
      </c>
      <c r="AA241">
        <f>IF(I241="","",ROUND(IF(K241="",0,K241)+IF(L241="",0,L241)+IF(O241="",0,O241)+IF(P241="",0,P241)+IF(Q241="",0,Q241)+IF(R241="",0,R241),1))</f>
        <v/>
      </c>
      <c r="AB241">
        <f>IF(I241="","",ROUND(IF(K241="",0,K241)+IF(L241="",0,L241)+IF(M241="",0,M241)+IF(N241="",0,N241)+IF(O241="",0,O241)+IF(P241="",0,P241)+IF(Q241="",0,Q241)+IF(R241="",0,R241),1))</f>
        <v/>
      </c>
      <c r="AD241">
        <f>IF(A241="","",A241&amp;"-"&amp;TEXT(C241,"yyyymmdd"))</f>
        <v/>
      </c>
    </row>
    <row r="242">
      <c r="B242">
        <f>IFERROR(INDEX(TablaDeportistas[primerApellido],MATCH(A242,TablaDeportistas[ID_Deportista],0))&amp;" "&amp;INDEX(TablaDeportistas[nombres],MATCH(A242,TablaDeportistas[ID_Deportista],0)),"")</f>
        <v/>
      </c>
      <c r="Z242">
        <f>IF(OR(I242="",J242=""),"",ROUND(I242/((J242/100)^2),2))</f>
        <v/>
      </c>
      <c r="AA242">
        <f>IF(I242="","",ROUND(IF(K242="",0,K242)+IF(L242="",0,L242)+IF(O242="",0,O242)+IF(P242="",0,P242)+IF(Q242="",0,Q242)+IF(R242="",0,R242),1))</f>
        <v/>
      </c>
      <c r="AB242">
        <f>IF(I242="","",ROUND(IF(K242="",0,K242)+IF(L242="",0,L242)+IF(M242="",0,M242)+IF(N242="",0,N242)+IF(O242="",0,O242)+IF(P242="",0,P242)+IF(Q242="",0,Q242)+IF(R242="",0,R242),1))</f>
        <v/>
      </c>
      <c r="AD242">
        <f>IF(A242="","",A242&amp;"-"&amp;TEXT(C242,"yyyymmdd"))</f>
        <v/>
      </c>
    </row>
    <row r="243">
      <c r="B243">
        <f>IFERROR(INDEX(TablaDeportistas[primerApellido],MATCH(A243,TablaDeportistas[ID_Deportista],0))&amp;" "&amp;INDEX(TablaDeportistas[nombres],MATCH(A243,TablaDeportistas[ID_Deportista],0)),"")</f>
        <v/>
      </c>
      <c r="Z243">
        <f>IF(OR(I243="",J243=""),"",ROUND(I243/((J243/100)^2),2))</f>
        <v/>
      </c>
      <c r="AA243">
        <f>IF(I243="","",ROUND(IF(K243="",0,K243)+IF(L243="",0,L243)+IF(O243="",0,O243)+IF(P243="",0,P243)+IF(Q243="",0,Q243)+IF(R243="",0,R243),1))</f>
        <v/>
      </c>
      <c r="AB243">
        <f>IF(I243="","",ROUND(IF(K243="",0,K243)+IF(L243="",0,L243)+IF(M243="",0,M243)+IF(N243="",0,N243)+IF(O243="",0,O243)+IF(P243="",0,P243)+IF(Q243="",0,Q243)+IF(R243="",0,R243),1))</f>
        <v/>
      </c>
      <c r="AD243">
        <f>IF(A243="","",A243&amp;"-"&amp;TEXT(C243,"yyyymmdd"))</f>
        <v/>
      </c>
    </row>
    <row r="244">
      <c r="B244">
        <f>IFERROR(INDEX(TablaDeportistas[primerApellido],MATCH(A244,TablaDeportistas[ID_Deportista],0))&amp;" "&amp;INDEX(TablaDeportistas[nombres],MATCH(A244,TablaDeportistas[ID_Deportista],0)),"")</f>
        <v/>
      </c>
      <c r="Z244">
        <f>IF(OR(I244="",J244=""),"",ROUND(I244/((J244/100)^2),2))</f>
        <v/>
      </c>
      <c r="AA244">
        <f>IF(I244="","",ROUND(IF(K244="",0,K244)+IF(L244="",0,L244)+IF(O244="",0,O244)+IF(P244="",0,P244)+IF(Q244="",0,Q244)+IF(R244="",0,R244),1))</f>
        <v/>
      </c>
      <c r="AB244">
        <f>IF(I244="","",ROUND(IF(K244="",0,K244)+IF(L244="",0,L244)+IF(M244="",0,M244)+IF(N244="",0,N244)+IF(O244="",0,O244)+IF(P244="",0,P244)+IF(Q244="",0,Q244)+IF(R244="",0,R244),1))</f>
        <v/>
      </c>
      <c r="AD244">
        <f>IF(A244="","",A244&amp;"-"&amp;TEXT(C244,"yyyymmdd"))</f>
        <v/>
      </c>
    </row>
    <row r="245">
      <c r="B245">
        <f>IFERROR(INDEX(TablaDeportistas[primerApellido],MATCH(A245,TablaDeportistas[ID_Deportista],0))&amp;" "&amp;INDEX(TablaDeportistas[nombres],MATCH(A245,TablaDeportistas[ID_Deportista],0)),"")</f>
        <v/>
      </c>
      <c r="Z245">
        <f>IF(OR(I245="",J245=""),"",ROUND(I245/((J245/100)^2),2))</f>
        <v/>
      </c>
      <c r="AA245">
        <f>IF(I245="","",ROUND(IF(K245="",0,K245)+IF(L245="",0,L245)+IF(O245="",0,O245)+IF(P245="",0,P245)+IF(Q245="",0,Q245)+IF(R245="",0,R245),1))</f>
        <v/>
      </c>
      <c r="AB245">
        <f>IF(I245="","",ROUND(IF(K245="",0,K245)+IF(L245="",0,L245)+IF(M245="",0,M245)+IF(N245="",0,N245)+IF(O245="",0,O245)+IF(P245="",0,P245)+IF(Q245="",0,Q245)+IF(R245="",0,R245),1))</f>
        <v/>
      </c>
      <c r="AD245">
        <f>IF(A245="","",A245&amp;"-"&amp;TEXT(C245,"yyyymmdd"))</f>
        <v/>
      </c>
    </row>
    <row r="246">
      <c r="B246">
        <f>IFERROR(INDEX(TablaDeportistas[primerApellido],MATCH(A246,TablaDeportistas[ID_Deportista],0))&amp;" "&amp;INDEX(TablaDeportistas[nombres],MATCH(A246,TablaDeportistas[ID_Deportista],0)),"")</f>
        <v/>
      </c>
      <c r="Z246">
        <f>IF(OR(I246="",J246=""),"",ROUND(I246/((J246/100)^2),2))</f>
        <v/>
      </c>
      <c r="AA246">
        <f>IF(I246="","",ROUND(IF(K246="",0,K246)+IF(L246="",0,L246)+IF(O246="",0,O246)+IF(P246="",0,P246)+IF(Q246="",0,Q246)+IF(R246="",0,R246),1))</f>
        <v/>
      </c>
      <c r="AB246">
        <f>IF(I246="","",ROUND(IF(K246="",0,K246)+IF(L246="",0,L246)+IF(M246="",0,M246)+IF(N246="",0,N246)+IF(O246="",0,O246)+IF(P246="",0,P246)+IF(Q246="",0,Q246)+IF(R246="",0,R246),1))</f>
        <v/>
      </c>
      <c r="AD246">
        <f>IF(A246="","",A246&amp;"-"&amp;TEXT(C246,"yyyymmdd"))</f>
        <v/>
      </c>
    </row>
    <row r="247">
      <c r="B247">
        <f>IFERROR(INDEX(TablaDeportistas[primerApellido],MATCH(A247,TablaDeportistas[ID_Deportista],0))&amp;" "&amp;INDEX(TablaDeportistas[nombres],MATCH(A247,TablaDeportistas[ID_Deportista],0)),"")</f>
        <v/>
      </c>
      <c r="Z247">
        <f>IF(OR(I247="",J247=""),"",ROUND(I247/((J247/100)^2),2))</f>
        <v/>
      </c>
      <c r="AA247">
        <f>IF(I247="","",ROUND(IF(K247="",0,K247)+IF(L247="",0,L247)+IF(O247="",0,O247)+IF(P247="",0,P247)+IF(Q247="",0,Q247)+IF(R247="",0,R247),1))</f>
        <v/>
      </c>
      <c r="AB247">
        <f>IF(I247="","",ROUND(IF(K247="",0,K247)+IF(L247="",0,L247)+IF(M247="",0,M247)+IF(N247="",0,N247)+IF(O247="",0,O247)+IF(P247="",0,P247)+IF(Q247="",0,Q247)+IF(R247="",0,R247),1))</f>
        <v/>
      </c>
      <c r="AD247">
        <f>IF(A247="","",A247&amp;"-"&amp;TEXT(C247,"yyyymmdd"))</f>
        <v/>
      </c>
    </row>
    <row r="248">
      <c r="B248">
        <f>IFERROR(INDEX(TablaDeportistas[primerApellido],MATCH(A248,TablaDeportistas[ID_Deportista],0))&amp;" "&amp;INDEX(TablaDeportistas[nombres],MATCH(A248,TablaDeportistas[ID_Deportista],0)),"")</f>
        <v/>
      </c>
      <c r="Z248">
        <f>IF(OR(I248="",J248=""),"",ROUND(I248/((J248/100)^2),2))</f>
        <v/>
      </c>
      <c r="AA248">
        <f>IF(I248="","",ROUND(IF(K248="",0,K248)+IF(L248="",0,L248)+IF(O248="",0,O248)+IF(P248="",0,P248)+IF(Q248="",0,Q248)+IF(R248="",0,R248),1))</f>
        <v/>
      </c>
      <c r="AB248">
        <f>IF(I248="","",ROUND(IF(K248="",0,K248)+IF(L248="",0,L248)+IF(M248="",0,M248)+IF(N248="",0,N248)+IF(O248="",0,O248)+IF(P248="",0,P248)+IF(Q248="",0,Q248)+IF(R248="",0,R248),1))</f>
        <v/>
      </c>
      <c r="AD248">
        <f>IF(A248="","",A248&amp;"-"&amp;TEXT(C248,"yyyymmdd"))</f>
        <v/>
      </c>
    </row>
    <row r="249">
      <c r="B249">
        <f>IFERROR(INDEX(TablaDeportistas[primerApellido],MATCH(A249,TablaDeportistas[ID_Deportista],0))&amp;" "&amp;INDEX(TablaDeportistas[nombres],MATCH(A249,TablaDeportistas[ID_Deportista],0)),"")</f>
        <v/>
      </c>
      <c r="Z249">
        <f>IF(OR(I249="",J249=""),"",ROUND(I249/((J249/100)^2),2))</f>
        <v/>
      </c>
      <c r="AA249">
        <f>IF(I249="","",ROUND(IF(K249="",0,K249)+IF(L249="",0,L249)+IF(O249="",0,O249)+IF(P249="",0,P249)+IF(Q249="",0,Q249)+IF(R249="",0,R249),1))</f>
        <v/>
      </c>
      <c r="AB249">
        <f>IF(I249="","",ROUND(IF(K249="",0,K249)+IF(L249="",0,L249)+IF(M249="",0,M249)+IF(N249="",0,N249)+IF(O249="",0,O249)+IF(P249="",0,P249)+IF(Q249="",0,Q249)+IF(R249="",0,R249),1))</f>
        <v/>
      </c>
      <c r="AD249">
        <f>IF(A249="","",A249&amp;"-"&amp;TEXT(C249,"yyyymmdd"))</f>
        <v/>
      </c>
    </row>
    <row r="250">
      <c r="B250">
        <f>IFERROR(INDEX(TablaDeportistas[primerApellido],MATCH(A250,TablaDeportistas[ID_Deportista],0))&amp;" "&amp;INDEX(TablaDeportistas[nombres],MATCH(A250,TablaDeportistas[ID_Deportista],0)),"")</f>
        <v/>
      </c>
      <c r="Z250">
        <f>IF(OR(I250="",J250=""),"",ROUND(I250/((J250/100)^2),2))</f>
        <v/>
      </c>
      <c r="AA250">
        <f>IF(I250="","",ROUND(IF(K250="",0,K250)+IF(L250="",0,L250)+IF(O250="",0,O250)+IF(P250="",0,P250)+IF(Q250="",0,Q250)+IF(R250="",0,R250),1))</f>
        <v/>
      </c>
      <c r="AB250">
        <f>IF(I250="","",ROUND(IF(K250="",0,K250)+IF(L250="",0,L250)+IF(M250="",0,M250)+IF(N250="",0,N250)+IF(O250="",0,O250)+IF(P250="",0,P250)+IF(Q250="",0,Q250)+IF(R250="",0,R250),1))</f>
        <v/>
      </c>
      <c r="AD250">
        <f>IF(A250="","",A250&amp;"-"&amp;TEXT(C250,"yyyymmdd"))</f>
        <v/>
      </c>
    </row>
    <row r="251">
      <c r="B251">
        <f>IFERROR(INDEX(TablaDeportistas[primerApellido],MATCH(A251,TablaDeportistas[ID_Deportista],0))&amp;" "&amp;INDEX(TablaDeportistas[nombres],MATCH(A251,TablaDeportistas[ID_Deportista],0)),"")</f>
        <v/>
      </c>
      <c r="Z251">
        <f>IF(OR(I251="",J251=""),"",ROUND(I251/((J251/100)^2),2))</f>
        <v/>
      </c>
      <c r="AA251">
        <f>IF(I251="","",ROUND(IF(K251="",0,K251)+IF(L251="",0,L251)+IF(O251="",0,O251)+IF(P251="",0,P251)+IF(Q251="",0,Q251)+IF(R251="",0,R251),1))</f>
        <v/>
      </c>
      <c r="AB251">
        <f>IF(I251="","",ROUND(IF(K251="",0,K251)+IF(L251="",0,L251)+IF(M251="",0,M251)+IF(N251="",0,N251)+IF(O251="",0,O251)+IF(P251="",0,P251)+IF(Q251="",0,Q251)+IF(R251="",0,R251),1))</f>
        <v/>
      </c>
      <c r="AD251">
        <f>IF(A251="","",A251&amp;"-"&amp;TEXT(C251,"yyyymmdd"))</f>
        <v/>
      </c>
    </row>
    <row r="252">
      <c r="B252">
        <f>IFERROR(INDEX(TablaDeportistas[primerApellido],MATCH(A252,TablaDeportistas[ID_Deportista],0))&amp;" "&amp;INDEX(TablaDeportistas[nombres],MATCH(A252,TablaDeportistas[ID_Deportista],0)),"")</f>
        <v/>
      </c>
      <c r="Z252">
        <f>IF(OR(I252="",J252=""),"",ROUND(I252/((J252/100)^2),2))</f>
        <v/>
      </c>
      <c r="AA252">
        <f>IF(I252="","",ROUND(IF(K252="",0,K252)+IF(L252="",0,L252)+IF(O252="",0,O252)+IF(P252="",0,P252)+IF(Q252="",0,Q252)+IF(R252="",0,R252),1))</f>
        <v/>
      </c>
      <c r="AB252">
        <f>IF(I252="","",ROUND(IF(K252="",0,K252)+IF(L252="",0,L252)+IF(M252="",0,M252)+IF(N252="",0,N252)+IF(O252="",0,O252)+IF(P252="",0,P252)+IF(Q252="",0,Q252)+IF(R252="",0,R252),1))</f>
        <v/>
      </c>
      <c r="AD252">
        <f>IF(A252="","",A252&amp;"-"&amp;TEXT(C252,"yyyymmdd"))</f>
        <v/>
      </c>
    </row>
    <row r="253">
      <c r="B253">
        <f>IFERROR(INDEX(TablaDeportistas[primerApellido],MATCH(A253,TablaDeportistas[ID_Deportista],0))&amp;" "&amp;INDEX(TablaDeportistas[nombres],MATCH(A253,TablaDeportistas[ID_Deportista],0)),"")</f>
        <v/>
      </c>
      <c r="Z253">
        <f>IF(OR(I253="",J253=""),"",ROUND(I253/((J253/100)^2),2))</f>
        <v/>
      </c>
      <c r="AA253">
        <f>IF(I253="","",ROUND(IF(K253="",0,K253)+IF(L253="",0,L253)+IF(O253="",0,O253)+IF(P253="",0,P253)+IF(Q253="",0,Q253)+IF(R253="",0,R253),1))</f>
        <v/>
      </c>
      <c r="AB253">
        <f>IF(I253="","",ROUND(IF(K253="",0,K253)+IF(L253="",0,L253)+IF(M253="",0,M253)+IF(N253="",0,N253)+IF(O253="",0,O253)+IF(P253="",0,P253)+IF(Q253="",0,Q253)+IF(R253="",0,R253),1))</f>
        <v/>
      </c>
      <c r="AD253">
        <f>IF(A253="","",A253&amp;"-"&amp;TEXT(C253,"yyyymmdd"))</f>
        <v/>
      </c>
    </row>
    <row r="254">
      <c r="B254">
        <f>IFERROR(INDEX(TablaDeportistas[primerApellido],MATCH(A254,TablaDeportistas[ID_Deportista],0))&amp;" "&amp;INDEX(TablaDeportistas[nombres],MATCH(A254,TablaDeportistas[ID_Deportista],0)),"")</f>
        <v/>
      </c>
      <c r="Z254">
        <f>IF(OR(I254="",J254=""),"",ROUND(I254/((J254/100)^2),2))</f>
        <v/>
      </c>
      <c r="AA254">
        <f>IF(I254="","",ROUND(IF(K254="",0,K254)+IF(L254="",0,L254)+IF(O254="",0,O254)+IF(P254="",0,P254)+IF(Q254="",0,Q254)+IF(R254="",0,R254),1))</f>
        <v/>
      </c>
      <c r="AB254">
        <f>IF(I254="","",ROUND(IF(K254="",0,K254)+IF(L254="",0,L254)+IF(M254="",0,M254)+IF(N254="",0,N254)+IF(O254="",0,O254)+IF(P254="",0,P254)+IF(Q254="",0,Q254)+IF(R254="",0,R254),1))</f>
        <v/>
      </c>
      <c r="AD254">
        <f>IF(A254="","",A254&amp;"-"&amp;TEXT(C254,"yyyymmdd"))</f>
        <v/>
      </c>
    </row>
    <row r="255">
      <c r="B255">
        <f>IFERROR(INDEX(TablaDeportistas[primerApellido],MATCH(A255,TablaDeportistas[ID_Deportista],0))&amp;" "&amp;INDEX(TablaDeportistas[nombres],MATCH(A255,TablaDeportistas[ID_Deportista],0)),"")</f>
        <v/>
      </c>
      <c r="Z255">
        <f>IF(OR(I255="",J255=""),"",ROUND(I255/((J255/100)^2),2))</f>
        <v/>
      </c>
      <c r="AA255">
        <f>IF(I255="","",ROUND(IF(K255="",0,K255)+IF(L255="",0,L255)+IF(O255="",0,O255)+IF(P255="",0,P255)+IF(Q255="",0,Q255)+IF(R255="",0,R255),1))</f>
        <v/>
      </c>
      <c r="AB255">
        <f>IF(I255="","",ROUND(IF(K255="",0,K255)+IF(L255="",0,L255)+IF(M255="",0,M255)+IF(N255="",0,N255)+IF(O255="",0,O255)+IF(P255="",0,P255)+IF(Q255="",0,Q255)+IF(R255="",0,R255),1))</f>
        <v/>
      </c>
      <c r="AD255">
        <f>IF(A255="","",A255&amp;"-"&amp;TEXT(C255,"yyyymmdd"))</f>
        <v/>
      </c>
    </row>
    <row r="256">
      <c r="B256">
        <f>IFERROR(INDEX(TablaDeportistas[primerApellido],MATCH(A256,TablaDeportistas[ID_Deportista],0))&amp;" "&amp;INDEX(TablaDeportistas[nombres],MATCH(A256,TablaDeportistas[ID_Deportista],0)),"")</f>
        <v/>
      </c>
      <c r="Z256">
        <f>IF(OR(I256="",J256=""),"",ROUND(I256/((J256/100)^2),2))</f>
        <v/>
      </c>
      <c r="AA256">
        <f>IF(I256="","",ROUND(IF(K256="",0,K256)+IF(L256="",0,L256)+IF(O256="",0,O256)+IF(P256="",0,P256)+IF(Q256="",0,Q256)+IF(R256="",0,R256),1))</f>
        <v/>
      </c>
      <c r="AB256">
        <f>IF(I256="","",ROUND(IF(K256="",0,K256)+IF(L256="",0,L256)+IF(M256="",0,M256)+IF(N256="",0,N256)+IF(O256="",0,O256)+IF(P256="",0,P256)+IF(Q256="",0,Q256)+IF(R256="",0,R256),1))</f>
        <v/>
      </c>
      <c r="AD256">
        <f>IF(A256="","",A256&amp;"-"&amp;TEXT(C256,"yyyymmdd"))</f>
        <v/>
      </c>
    </row>
    <row r="257">
      <c r="B257">
        <f>IFERROR(INDEX(TablaDeportistas[primerApellido],MATCH(A257,TablaDeportistas[ID_Deportista],0))&amp;" "&amp;INDEX(TablaDeportistas[nombres],MATCH(A257,TablaDeportistas[ID_Deportista],0)),"")</f>
        <v/>
      </c>
      <c r="Z257">
        <f>IF(OR(I257="",J257=""),"",ROUND(I257/((J257/100)^2),2))</f>
        <v/>
      </c>
      <c r="AA257">
        <f>IF(I257="","",ROUND(IF(K257="",0,K257)+IF(L257="",0,L257)+IF(O257="",0,O257)+IF(P257="",0,P257)+IF(Q257="",0,Q257)+IF(R257="",0,R257),1))</f>
        <v/>
      </c>
      <c r="AB257">
        <f>IF(I257="","",ROUND(IF(K257="",0,K257)+IF(L257="",0,L257)+IF(M257="",0,M257)+IF(N257="",0,N257)+IF(O257="",0,O257)+IF(P257="",0,P257)+IF(Q257="",0,Q257)+IF(R257="",0,R257),1))</f>
        <v/>
      </c>
      <c r="AD257">
        <f>IF(A257="","",A257&amp;"-"&amp;TEXT(C257,"yyyymmdd"))</f>
        <v/>
      </c>
    </row>
    <row r="258">
      <c r="B258">
        <f>IFERROR(INDEX(TablaDeportistas[primerApellido],MATCH(A258,TablaDeportistas[ID_Deportista],0))&amp;" "&amp;INDEX(TablaDeportistas[nombres],MATCH(A258,TablaDeportistas[ID_Deportista],0)),"")</f>
        <v/>
      </c>
      <c r="Z258">
        <f>IF(OR(I258="",J258=""),"",ROUND(I258/((J258/100)^2),2))</f>
        <v/>
      </c>
      <c r="AA258">
        <f>IF(I258="","",ROUND(IF(K258="",0,K258)+IF(L258="",0,L258)+IF(O258="",0,O258)+IF(P258="",0,P258)+IF(Q258="",0,Q258)+IF(R258="",0,R258),1))</f>
        <v/>
      </c>
      <c r="AB258">
        <f>IF(I258="","",ROUND(IF(K258="",0,K258)+IF(L258="",0,L258)+IF(M258="",0,M258)+IF(N258="",0,N258)+IF(O258="",0,O258)+IF(P258="",0,P258)+IF(Q258="",0,Q258)+IF(R258="",0,R258),1))</f>
        <v/>
      </c>
      <c r="AD258">
        <f>IF(A258="","",A258&amp;"-"&amp;TEXT(C258,"yyyymmdd"))</f>
        <v/>
      </c>
    </row>
    <row r="259">
      <c r="B259">
        <f>IFERROR(INDEX(TablaDeportistas[primerApellido],MATCH(A259,TablaDeportistas[ID_Deportista],0))&amp;" "&amp;INDEX(TablaDeportistas[nombres],MATCH(A259,TablaDeportistas[ID_Deportista],0)),"")</f>
        <v/>
      </c>
      <c r="Z259">
        <f>IF(OR(I259="",J259=""),"",ROUND(I259/((J259/100)^2),2))</f>
        <v/>
      </c>
      <c r="AA259">
        <f>IF(I259="","",ROUND(IF(K259="",0,K259)+IF(L259="",0,L259)+IF(O259="",0,O259)+IF(P259="",0,P259)+IF(Q259="",0,Q259)+IF(R259="",0,R259),1))</f>
        <v/>
      </c>
      <c r="AB259">
        <f>IF(I259="","",ROUND(IF(K259="",0,K259)+IF(L259="",0,L259)+IF(M259="",0,M259)+IF(N259="",0,N259)+IF(O259="",0,O259)+IF(P259="",0,P259)+IF(Q259="",0,Q259)+IF(R259="",0,R259),1))</f>
        <v/>
      </c>
      <c r="AD259">
        <f>IF(A259="","",A259&amp;"-"&amp;TEXT(C259,"yyyymmdd"))</f>
        <v/>
      </c>
    </row>
    <row r="260">
      <c r="B260">
        <f>IFERROR(INDEX(TablaDeportistas[primerApellido],MATCH(A260,TablaDeportistas[ID_Deportista],0))&amp;" "&amp;INDEX(TablaDeportistas[nombres],MATCH(A260,TablaDeportistas[ID_Deportista],0)),"")</f>
        <v/>
      </c>
      <c r="Z260">
        <f>IF(OR(I260="",J260=""),"",ROUND(I260/((J260/100)^2),2))</f>
        <v/>
      </c>
      <c r="AA260">
        <f>IF(I260="","",ROUND(IF(K260="",0,K260)+IF(L260="",0,L260)+IF(O260="",0,O260)+IF(P260="",0,P260)+IF(Q260="",0,Q260)+IF(R260="",0,R260),1))</f>
        <v/>
      </c>
      <c r="AB260">
        <f>IF(I260="","",ROUND(IF(K260="",0,K260)+IF(L260="",0,L260)+IF(M260="",0,M260)+IF(N260="",0,N260)+IF(O260="",0,O260)+IF(P260="",0,P260)+IF(Q260="",0,Q260)+IF(R260="",0,R260),1))</f>
        <v/>
      </c>
      <c r="AD260">
        <f>IF(A260="","",A260&amp;"-"&amp;TEXT(C260,"yyyymmdd"))</f>
        <v/>
      </c>
    </row>
    <row r="261">
      <c r="B261">
        <f>IFERROR(INDEX(TablaDeportistas[primerApellido],MATCH(A261,TablaDeportistas[ID_Deportista],0))&amp;" "&amp;INDEX(TablaDeportistas[nombres],MATCH(A261,TablaDeportistas[ID_Deportista],0)),"")</f>
        <v/>
      </c>
      <c r="Z261">
        <f>IF(OR(I261="",J261=""),"",ROUND(I261/((J261/100)^2),2))</f>
        <v/>
      </c>
      <c r="AA261">
        <f>IF(I261="","",ROUND(IF(K261="",0,K261)+IF(L261="",0,L261)+IF(O261="",0,O261)+IF(P261="",0,P261)+IF(Q261="",0,Q261)+IF(R261="",0,R261),1))</f>
        <v/>
      </c>
      <c r="AB261">
        <f>IF(I261="","",ROUND(IF(K261="",0,K261)+IF(L261="",0,L261)+IF(M261="",0,M261)+IF(N261="",0,N261)+IF(O261="",0,O261)+IF(P261="",0,P261)+IF(Q261="",0,Q261)+IF(R261="",0,R261),1))</f>
        <v/>
      </c>
      <c r="AD261">
        <f>IF(A261="","",A261&amp;"-"&amp;TEXT(C261,"yyyymmdd"))</f>
        <v/>
      </c>
    </row>
    <row r="262">
      <c r="B262">
        <f>IFERROR(INDEX(TablaDeportistas[primerApellido],MATCH(A262,TablaDeportistas[ID_Deportista],0))&amp;" "&amp;INDEX(TablaDeportistas[nombres],MATCH(A262,TablaDeportistas[ID_Deportista],0)),"")</f>
        <v/>
      </c>
      <c r="Z262">
        <f>IF(OR(I262="",J262=""),"",ROUND(I262/((J262/100)^2),2))</f>
        <v/>
      </c>
      <c r="AA262">
        <f>IF(I262="","",ROUND(IF(K262="",0,K262)+IF(L262="",0,L262)+IF(O262="",0,O262)+IF(P262="",0,P262)+IF(Q262="",0,Q262)+IF(R262="",0,R262),1))</f>
        <v/>
      </c>
      <c r="AB262">
        <f>IF(I262="","",ROUND(IF(K262="",0,K262)+IF(L262="",0,L262)+IF(M262="",0,M262)+IF(N262="",0,N262)+IF(O262="",0,O262)+IF(P262="",0,P262)+IF(Q262="",0,Q262)+IF(R262="",0,R262),1))</f>
        <v/>
      </c>
      <c r="AD262">
        <f>IF(A262="","",A262&amp;"-"&amp;TEXT(C262,"yyyymmdd"))</f>
        <v/>
      </c>
    </row>
    <row r="263">
      <c r="B263">
        <f>IFERROR(INDEX(TablaDeportistas[primerApellido],MATCH(A263,TablaDeportistas[ID_Deportista],0))&amp;" "&amp;INDEX(TablaDeportistas[nombres],MATCH(A263,TablaDeportistas[ID_Deportista],0)),"")</f>
        <v/>
      </c>
      <c r="Z263">
        <f>IF(OR(I263="",J263=""),"",ROUND(I263/((J263/100)^2),2))</f>
        <v/>
      </c>
      <c r="AA263">
        <f>IF(I263="","",ROUND(IF(K263="",0,K263)+IF(L263="",0,L263)+IF(O263="",0,O263)+IF(P263="",0,P263)+IF(Q263="",0,Q263)+IF(R263="",0,R263),1))</f>
        <v/>
      </c>
      <c r="AB263">
        <f>IF(I263="","",ROUND(IF(K263="",0,K263)+IF(L263="",0,L263)+IF(M263="",0,M263)+IF(N263="",0,N263)+IF(O263="",0,O263)+IF(P263="",0,P263)+IF(Q263="",0,Q263)+IF(R263="",0,R263),1))</f>
        <v/>
      </c>
      <c r="AD263">
        <f>IF(A263="","",A263&amp;"-"&amp;TEXT(C263,"yyyymmdd"))</f>
        <v/>
      </c>
    </row>
    <row r="264">
      <c r="B264">
        <f>IFERROR(INDEX(TablaDeportistas[primerApellido],MATCH(A264,TablaDeportistas[ID_Deportista],0))&amp;" "&amp;INDEX(TablaDeportistas[nombres],MATCH(A264,TablaDeportistas[ID_Deportista],0)),"")</f>
        <v/>
      </c>
      <c r="Z264">
        <f>IF(OR(I264="",J264=""),"",ROUND(I264/((J264/100)^2),2))</f>
        <v/>
      </c>
      <c r="AA264">
        <f>IF(I264="","",ROUND(IF(K264="",0,K264)+IF(L264="",0,L264)+IF(O264="",0,O264)+IF(P264="",0,P264)+IF(Q264="",0,Q264)+IF(R264="",0,R264),1))</f>
        <v/>
      </c>
      <c r="AB264">
        <f>IF(I264="","",ROUND(IF(K264="",0,K264)+IF(L264="",0,L264)+IF(M264="",0,M264)+IF(N264="",0,N264)+IF(O264="",0,O264)+IF(P264="",0,P264)+IF(Q264="",0,Q264)+IF(R264="",0,R264),1))</f>
        <v/>
      </c>
      <c r="AD264">
        <f>IF(A264="","",A264&amp;"-"&amp;TEXT(C264,"yyyymmdd"))</f>
        <v/>
      </c>
    </row>
    <row r="265">
      <c r="B265">
        <f>IFERROR(INDEX(TablaDeportistas[primerApellido],MATCH(A265,TablaDeportistas[ID_Deportista],0))&amp;" "&amp;INDEX(TablaDeportistas[nombres],MATCH(A265,TablaDeportistas[ID_Deportista],0)),"")</f>
        <v/>
      </c>
      <c r="Z265">
        <f>IF(OR(I265="",J265=""),"",ROUND(I265/((J265/100)^2),2))</f>
        <v/>
      </c>
      <c r="AA265">
        <f>IF(I265="","",ROUND(IF(K265="",0,K265)+IF(L265="",0,L265)+IF(O265="",0,O265)+IF(P265="",0,P265)+IF(Q265="",0,Q265)+IF(R265="",0,R265),1))</f>
        <v/>
      </c>
      <c r="AB265">
        <f>IF(I265="","",ROUND(IF(K265="",0,K265)+IF(L265="",0,L265)+IF(M265="",0,M265)+IF(N265="",0,N265)+IF(O265="",0,O265)+IF(P265="",0,P265)+IF(Q265="",0,Q265)+IF(R265="",0,R265),1))</f>
        <v/>
      </c>
      <c r="AD265">
        <f>IF(A265="","",A265&amp;"-"&amp;TEXT(C265,"yyyymmdd"))</f>
        <v/>
      </c>
    </row>
    <row r="266">
      <c r="B266">
        <f>IFERROR(INDEX(TablaDeportistas[primerApellido],MATCH(A266,TablaDeportistas[ID_Deportista],0))&amp;" "&amp;INDEX(TablaDeportistas[nombres],MATCH(A266,TablaDeportistas[ID_Deportista],0)),"")</f>
        <v/>
      </c>
      <c r="Z266">
        <f>IF(OR(I266="",J266=""),"",ROUND(I266/((J266/100)^2),2))</f>
        <v/>
      </c>
      <c r="AA266">
        <f>IF(I266="","",ROUND(IF(K266="",0,K266)+IF(L266="",0,L266)+IF(O266="",0,O266)+IF(P266="",0,P266)+IF(Q266="",0,Q266)+IF(R266="",0,R266),1))</f>
        <v/>
      </c>
      <c r="AB266">
        <f>IF(I266="","",ROUND(IF(K266="",0,K266)+IF(L266="",0,L266)+IF(M266="",0,M266)+IF(N266="",0,N266)+IF(O266="",0,O266)+IF(P266="",0,P266)+IF(Q266="",0,Q266)+IF(R266="",0,R266),1))</f>
        <v/>
      </c>
      <c r="AD266">
        <f>IF(A266="","",A266&amp;"-"&amp;TEXT(C266,"yyyymmdd"))</f>
        <v/>
      </c>
    </row>
    <row r="267">
      <c r="B267">
        <f>IFERROR(INDEX(TablaDeportistas[primerApellido],MATCH(A267,TablaDeportistas[ID_Deportista],0))&amp;" "&amp;INDEX(TablaDeportistas[nombres],MATCH(A267,TablaDeportistas[ID_Deportista],0)),"")</f>
        <v/>
      </c>
      <c r="Z267">
        <f>IF(OR(I267="",J267=""),"",ROUND(I267/((J267/100)^2),2))</f>
        <v/>
      </c>
      <c r="AA267">
        <f>IF(I267="","",ROUND(IF(K267="",0,K267)+IF(L267="",0,L267)+IF(O267="",0,O267)+IF(P267="",0,P267)+IF(Q267="",0,Q267)+IF(R267="",0,R267),1))</f>
        <v/>
      </c>
      <c r="AB267">
        <f>IF(I267="","",ROUND(IF(K267="",0,K267)+IF(L267="",0,L267)+IF(M267="",0,M267)+IF(N267="",0,N267)+IF(O267="",0,O267)+IF(P267="",0,P267)+IF(Q267="",0,Q267)+IF(R267="",0,R267),1))</f>
        <v/>
      </c>
      <c r="AD267">
        <f>IF(A267="","",A267&amp;"-"&amp;TEXT(C267,"yyyymmdd"))</f>
        <v/>
      </c>
    </row>
    <row r="268">
      <c r="B268">
        <f>IFERROR(INDEX(TablaDeportistas[primerApellido],MATCH(A268,TablaDeportistas[ID_Deportista],0))&amp;" "&amp;INDEX(TablaDeportistas[nombres],MATCH(A268,TablaDeportistas[ID_Deportista],0)),"")</f>
        <v/>
      </c>
      <c r="Z268">
        <f>IF(OR(I268="",J268=""),"",ROUND(I268/((J268/100)^2),2))</f>
        <v/>
      </c>
      <c r="AA268">
        <f>IF(I268="","",ROUND(IF(K268="",0,K268)+IF(L268="",0,L268)+IF(O268="",0,O268)+IF(P268="",0,P268)+IF(Q268="",0,Q268)+IF(R268="",0,R268),1))</f>
        <v/>
      </c>
      <c r="AB268">
        <f>IF(I268="","",ROUND(IF(K268="",0,K268)+IF(L268="",0,L268)+IF(M268="",0,M268)+IF(N268="",0,N268)+IF(O268="",0,O268)+IF(P268="",0,P268)+IF(Q268="",0,Q268)+IF(R268="",0,R268),1))</f>
        <v/>
      </c>
      <c r="AD268">
        <f>IF(A268="","",A268&amp;"-"&amp;TEXT(C268,"yyyymmdd"))</f>
        <v/>
      </c>
    </row>
    <row r="269">
      <c r="B269">
        <f>IFERROR(INDEX(TablaDeportistas[primerApellido],MATCH(A269,TablaDeportistas[ID_Deportista],0))&amp;" "&amp;INDEX(TablaDeportistas[nombres],MATCH(A269,TablaDeportistas[ID_Deportista],0)),"")</f>
        <v/>
      </c>
      <c r="Z269">
        <f>IF(OR(I269="",J269=""),"",ROUND(I269/((J269/100)^2),2))</f>
        <v/>
      </c>
      <c r="AA269">
        <f>IF(I269="","",ROUND(IF(K269="",0,K269)+IF(L269="",0,L269)+IF(O269="",0,O269)+IF(P269="",0,P269)+IF(Q269="",0,Q269)+IF(R269="",0,R269),1))</f>
        <v/>
      </c>
      <c r="AB269">
        <f>IF(I269="","",ROUND(IF(K269="",0,K269)+IF(L269="",0,L269)+IF(M269="",0,M269)+IF(N269="",0,N269)+IF(O269="",0,O269)+IF(P269="",0,P269)+IF(Q269="",0,Q269)+IF(R269="",0,R269),1))</f>
        <v/>
      </c>
      <c r="AD269">
        <f>IF(A269="","",A269&amp;"-"&amp;TEXT(C269,"yyyymmdd"))</f>
        <v/>
      </c>
    </row>
    <row r="270">
      <c r="B270">
        <f>IFERROR(INDEX(TablaDeportistas[primerApellido],MATCH(A270,TablaDeportistas[ID_Deportista],0))&amp;" "&amp;INDEX(TablaDeportistas[nombres],MATCH(A270,TablaDeportistas[ID_Deportista],0)),"")</f>
        <v/>
      </c>
      <c r="Z270">
        <f>IF(OR(I270="",J270=""),"",ROUND(I270/((J270/100)^2),2))</f>
        <v/>
      </c>
      <c r="AA270">
        <f>IF(I270="","",ROUND(IF(K270="",0,K270)+IF(L270="",0,L270)+IF(O270="",0,O270)+IF(P270="",0,P270)+IF(Q270="",0,Q270)+IF(R270="",0,R270),1))</f>
        <v/>
      </c>
      <c r="AB270">
        <f>IF(I270="","",ROUND(IF(K270="",0,K270)+IF(L270="",0,L270)+IF(M270="",0,M270)+IF(N270="",0,N270)+IF(O270="",0,O270)+IF(P270="",0,P270)+IF(Q270="",0,Q270)+IF(R270="",0,R270),1))</f>
        <v/>
      </c>
      <c r="AD270">
        <f>IF(A270="","",A270&amp;"-"&amp;TEXT(C270,"yyyymmdd"))</f>
        <v/>
      </c>
    </row>
    <row r="271">
      <c r="B271">
        <f>IFERROR(INDEX(TablaDeportistas[primerApellido],MATCH(A271,TablaDeportistas[ID_Deportista],0))&amp;" "&amp;INDEX(TablaDeportistas[nombres],MATCH(A271,TablaDeportistas[ID_Deportista],0)),"")</f>
        <v/>
      </c>
      <c r="Z271">
        <f>IF(OR(I271="",J271=""),"",ROUND(I271/((J271/100)^2),2))</f>
        <v/>
      </c>
      <c r="AA271">
        <f>IF(I271="","",ROUND(IF(K271="",0,K271)+IF(L271="",0,L271)+IF(O271="",0,O271)+IF(P271="",0,P271)+IF(Q271="",0,Q271)+IF(R271="",0,R271),1))</f>
        <v/>
      </c>
      <c r="AB271">
        <f>IF(I271="","",ROUND(IF(K271="",0,K271)+IF(L271="",0,L271)+IF(M271="",0,M271)+IF(N271="",0,N271)+IF(O271="",0,O271)+IF(P271="",0,P271)+IF(Q271="",0,Q271)+IF(R271="",0,R271),1))</f>
        <v/>
      </c>
      <c r="AD271">
        <f>IF(A271="","",A271&amp;"-"&amp;TEXT(C271,"yyyymmdd"))</f>
        <v/>
      </c>
    </row>
    <row r="272">
      <c r="B272">
        <f>IFERROR(INDEX(TablaDeportistas[primerApellido],MATCH(A272,TablaDeportistas[ID_Deportista],0))&amp;" "&amp;INDEX(TablaDeportistas[nombres],MATCH(A272,TablaDeportistas[ID_Deportista],0)),"")</f>
        <v/>
      </c>
      <c r="Z272">
        <f>IF(OR(I272="",J272=""),"",ROUND(I272/((J272/100)^2),2))</f>
        <v/>
      </c>
      <c r="AA272">
        <f>IF(I272="","",ROUND(IF(K272="",0,K272)+IF(L272="",0,L272)+IF(O272="",0,O272)+IF(P272="",0,P272)+IF(Q272="",0,Q272)+IF(R272="",0,R272),1))</f>
        <v/>
      </c>
      <c r="AB272">
        <f>IF(I272="","",ROUND(IF(K272="",0,K272)+IF(L272="",0,L272)+IF(M272="",0,M272)+IF(N272="",0,N272)+IF(O272="",0,O272)+IF(P272="",0,P272)+IF(Q272="",0,Q272)+IF(R272="",0,R272),1))</f>
        <v/>
      </c>
      <c r="AD272">
        <f>IF(A272="","",A272&amp;"-"&amp;TEXT(C272,"yyyymmdd"))</f>
        <v/>
      </c>
    </row>
    <row r="273">
      <c r="B273">
        <f>IFERROR(INDEX(TablaDeportistas[primerApellido],MATCH(A273,TablaDeportistas[ID_Deportista],0))&amp;" "&amp;INDEX(TablaDeportistas[nombres],MATCH(A273,TablaDeportistas[ID_Deportista],0)),"")</f>
        <v/>
      </c>
      <c r="Z273">
        <f>IF(OR(I273="",J273=""),"",ROUND(I273/((J273/100)^2),2))</f>
        <v/>
      </c>
      <c r="AA273">
        <f>IF(I273="","",ROUND(IF(K273="",0,K273)+IF(L273="",0,L273)+IF(O273="",0,O273)+IF(P273="",0,P273)+IF(Q273="",0,Q273)+IF(R273="",0,R273),1))</f>
        <v/>
      </c>
      <c r="AB273">
        <f>IF(I273="","",ROUND(IF(K273="",0,K273)+IF(L273="",0,L273)+IF(M273="",0,M273)+IF(N273="",0,N273)+IF(O273="",0,O273)+IF(P273="",0,P273)+IF(Q273="",0,Q273)+IF(R273="",0,R273),1))</f>
        <v/>
      </c>
      <c r="AD273">
        <f>IF(A273="","",A273&amp;"-"&amp;TEXT(C273,"yyyymmdd"))</f>
        <v/>
      </c>
    </row>
    <row r="274">
      <c r="B274">
        <f>IFERROR(INDEX(TablaDeportistas[primerApellido],MATCH(A274,TablaDeportistas[ID_Deportista],0))&amp;" "&amp;INDEX(TablaDeportistas[nombres],MATCH(A274,TablaDeportistas[ID_Deportista],0)),"")</f>
        <v/>
      </c>
      <c r="Z274">
        <f>IF(OR(I274="",J274=""),"",ROUND(I274/((J274/100)^2),2))</f>
        <v/>
      </c>
      <c r="AA274">
        <f>IF(I274="","",ROUND(IF(K274="",0,K274)+IF(L274="",0,L274)+IF(O274="",0,O274)+IF(P274="",0,P274)+IF(Q274="",0,Q274)+IF(R274="",0,R274),1))</f>
        <v/>
      </c>
      <c r="AB274">
        <f>IF(I274="","",ROUND(IF(K274="",0,K274)+IF(L274="",0,L274)+IF(M274="",0,M274)+IF(N274="",0,N274)+IF(O274="",0,O274)+IF(P274="",0,P274)+IF(Q274="",0,Q274)+IF(R274="",0,R274),1))</f>
        <v/>
      </c>
      <c r="AD274">
        <f>IF(A274="","",A274&amp;"-"&amp;TEXT(C274,"yyyymmdd"))</f>
        <v/>
      </c>
    </row>
    <row r="275">
      <c r="B275">
        <f>IFERROR(INDEX(TablaDeportistas[primerApellido],MATCH(A275,TablaDeportistas[ID_Deportista],0))&amp;" "&amp;INDEX(TablaDeportistas[nombres],MATCH(A275,TablaDeportistas[ID_Deportista],0)),"")</f>
        <v/>
      </c>
      <c r="Z275">
        <f>IF(OR(I275="",J275=""),"",ROUND(I275/((J275/100)^2),2))</f>
        <v/>
      </c>
      <c r="AA275">
        <f>IF(I275="","",ROUND(IF(K275="",0,K275)+IF(L275="",0,L275)+IF(O275="",0,O275)+IF(P275="",0,P275)+IF(Q275="",0,Q275)+IF(R275="",0,R275),1))</f>
        <v/>
      </c>
      <c r="AB275">
        <f>IF(I275="","",ROUND(IF(K275="",0,K275)+IF(L275="",0,L275)+IF(M275="",0,M275)+IF(N275="",0,N275)+IF(O275="",0,O275)+IF(P275="",0,P275)+IF(Q275="",0,Q275)+IF(R275="",0,R275),1))</f>
        <v/>
      </c>
      <c r="AD275">
        <f>IF(A275="","",A275&amp;"-"&amp;TEXT(C275,"yyyymmdd"))</f>
        <v/>
      </c>
    </row>
    <row r="276">
      <c r="B276">
        <f>IFERROR(INDEX(TablaDeportistas[primerApellido],MATCH(A276,TablaDeportistas[ID_Deportista],0))&amp;" "&amp;INDEX(TablaDeportistas[nombres],MATCH(A276,TablaDeportistas[ID_Deportista],0)),"")</f>
        <v/>
      </c>
      <c r="Z276">
        <f>IF(OR(I276="",J276=""),"",ROUND(I276/((J276/100)^2),2))</f>
        <v/>
      </c>
      <c r="AA276">
        <f>IF(I276="","",ROUND(IF(K276="",0,K276)+IF(L276="",0,L276)+IF(O276="",0,O276)+IF(P276="",0,P276)+IF(Q276="",0,Q276)+IF(R276="",0,R276),1))</f>
        <v/>
      </c>
      <c r="AB276">
        <f>IF(I276="","",ROUND(IF(K276="",0,K276)+IF(L276="",0,L276)+IF(M276="",0,M276)+IF(N276="",0,N276)+IF(O276="",0,O276)+IF(P276="",0,P276)+IF(Q276="",0,Q276)+IF(R276="",0,R276),1))</f>
        <v/>
      </c>
      <c r="AD276">
        <f>IF(A276="","",A276&amp;"-"&amp;TEXT(C276,"yyyymmdd"))</f>
        <v/>
      </c>
    </row>
    <row r="277">
      <c r="B277">
        <f>IFERROR(INDEX(TablaDeportistas[primerApellido],MATCH(A277,TablaDeportistas[ID_Deportista],0))&amp;" "&amp;INDEX(TablaDeportistas[nombres],MATCH(A277,TablaDeportistas[ID_Deportista],0)),"")</f>
        <v/>
      </c>
      <c r="Z277">
        <f>IF(OR(I277="",J277=""),"",ROUND(I277/((J277/100)^2),2))</f>
        <v/>
      </c>
      <c r="AA277">
        <f>IF(I277="","",ROUND(IF(K277="",0,K277)+IF(L277="",0,L277)+IF(O277="",0,O277)+IF(P277="",0,P277)+IF(Q277="",0,Q277)+IF(R277="",0,R277),1))</f>
        <v/>
      </c>
      <c r="AB277">
        <f>IF(I277="","",ROUND(IF(K277="",0,K277)+IF(L277="",0,L277)+IF(M277="",0,M277)+IF(N277="",0,N277)+IF(O277="",0,O277)+IF(P277="",0,P277)+IF(Q277="",0,Q277)+IF(R277="",0,R277),1))</f>
        <v/>
      </c>
      <c r="AD277">
        <f>IF(A277="","",A277&amp;"-"&amp;TEXT(C277,"yyyymmdd"))</f>
        <v/>
      </c>
    </row>
    <row r="278">
      <c r="B278">
        <f>IFERROR(INDEX(TablaDeportistas[primerApellido],MATCH(A278,TablaDeportistas[ID_Deportista],0))&amp;" "&amp;INDEX(TablaDeportistas[nombres],MATCH(A278,TablaDeportistas[ID_Deportista],0)),"")</f>
        <v/>
      </c>
      <c r="Z278">
        <f>IF(OR(I278="",J278=""),"",ROUND(I278/((J278/100)^2),2))</f>
        <v/>
      </c>
      <c r="AA278">
        <f>IF(I278="","",ROUND(IF(K278="",0,K278)+IF(L278="",0,L278)+IF(O278="",0,O278)+IF(P278="",0,P278)+IF(Q278="",0,Q278)+IF(R278="",0,R278),1))</f>
        <v/>
      </c>
      <c r="AB278">
        <f>IF(I278="","",ROUND(IF(K278="",0,K278)+IF(L278="",0,L278)+IF(M278="",0,M278)+IF(N278="",0,N278)+IF(O278="",0,O278)+IF(P278="",0,P278)+IF(Q278="",0,Q278)+IF(R278="",0,R278),1))</f>
        <v/>
      </c>
      <c r="AD278">
        <f>IF(A278="","",A278&amp;"-"&amp;TEXT(C278,"yyyymmdd"))</f>
        <v/>
      </c>
    </row>
    <row r="279">
      <c r="B279">
        <f>IFERROR(INDEX(TablaDeportistas[primerApellido],MATCH(A279,TablaDeportistas[ID_Deportista],0))&amp;" "&amp;INDEX(TablaDeportistas[nombres],MATCH(A279,TablaDeportistas[ID_Deportista],0)),"")</f>
        <v/>
      </c>
      <c r="Z279">
        <f>IF(OR(I279="",J279=""),"",ROUND(I279/((J279/100)^2),2))</f>
        <v/>
      </c>
      <c r="AA279">
        <f>IF(I279="","",ROUND(IF(K279="",0,K279)+IF(L279="",0,L279)+IF(O279="",0,O279)+IF(P279="",0,P279)+IF(Q279="",0,Q279)+IF(R279="",0,R279),1))</f>
        <v/>
      </c>
      <c r="AB279">
        <f>IF(I279="","",ROUND(IF(K279="",0,K279)+IF(L279="",0,L279)+IF(M279="",0,M279)+IF(N279="",0,N279)+IF(O279="",0,O279)+IF(P279="",0,P279)+IF(Q279="",0,Q279)+IF(R279="",0,R279),1))</f>
        <v/>
      </c>
      <c r="AD279">
        <f>IF(A279="","",A279&amp;"-"&amp;TEXT(C279,"yyyymmdd"))</f>
        <v/>
      </c>
    </row>
    <row r="280">
      <c r="B280">
        <f>IFERROR(INDEX(TablaDeportistas[primerApellido],MATCH(A280,TablaDeportistas[ID_Deportista],0))&amp;" "&amp;INDEX(TablaDeportistas[nombres],MATCH(A280,TablaDeportistas[ID_Deportista],0)),"")</f>
        <v/>
      </c>
      <c r="Z280">
        <f>IF(OR(I280="",J280=""),"",ROUND(I280/((J280/100)^2),2))</f>
        <v/>
      </c>
      <c r="AA280">
        <f>IF(I280="","",ROUND(IF(K280="",0,K280)+IF(L280="",0,L280)+IF(O280="",0,O280)+IF(P280="",0,P280)+IF(Q280="",0,Q280)+IF(R280="",0,R280),1))</f>
        <v/>
      </c>
      <c r="AB280">
        <f>IF(I280="","",ROUND(IF(K280="",0,K280)+IF(L280="",0,L280)+IF(M280="",0,M280)+IF(N280="",0,N280)+IF(O280="",0,O280)+IF(P280="",0,P280)+IF(Q280="",0,Q280)+IF(R280="",0,R280),1))</f>
        <v/>
      </c>
      <c r="AD280">
        <f>IF(A280="","",A280&amp;"-"&amp;TEXT(C280,"yyyymmdd"))</f>
        <v/>
      </c>
    </row>
    <row r="281">
      <c r="B281">
        <f>IFERROR(INDEX(TablaDeportistas[primerApellido],MATCH(A281,TablaDeportistas[ID_Deportista],0))&amp;" "&amp;INDEX(TablaDeportistas[nombres],MATCH(A281,TablaDeportistas[ID_Deportista],0)),"")</f>
        <v/>
      </c>
      <c r="Z281">
        <f>IF(OR(I281="",J281=""),"",ROUND(I281/((J281/100)^2),2))</f>
        <v/>
      </c>
      <c r="AA281">
        <f>IF(I281="","",ROUND(IF(K281="",0,K281)+IF(L281="",0,L281)+IF(O281="",0,O281)+IF(P281="",0,P281)+IF(Q281="",0,Q281)+IF(R281="",0,R281),1))</f>
        <v/>
      </c>
      <c r="AB281">
        <f>IF(I281="","",ROUND(IF(K281="",0,K281)+IF(L281="",0,L281)+IF(M281="",0,M281)+IF(N281="",0,N281)+IF(O281="",0,O281)+IF(P281="",0,P281)+IF(Q281="",0,Q281)+IF(R281="",0,R281),1))</f>
        <v/>
      </c>
      <c r="AD281">
        <f>IF(A281="","",A281&amp;"-"&amp;TEXT(C281,"yyyymmdd"))</f>
        <v/>
      </c>
    </row>
    <row r="282">
      <c r="B282">
        <f>IFERROR(INDEX(TablaDeportistas[primerApellido],MATCH(A282,TablaDeportistas[ID_Deportista],0))&amp;" "&amp;INDEX(TablaDeportistas[nombres],MATCH(A282,TablaDeportistas[ID_Deportista],0)),"")</f>
        <v/>
      </c>
      <c r="Z282">
        <f>IF(OR(I282="",J282=""),"",ROUND(I282/((J282/100)^2),2))</f>
        <v/>
      </c>
      <c r="AA282">
        <f>IF(I282="","",ROUND(IF(K282="",0,K282)+IF(L282="",0,L282)+IF(O282="",0,O282)+IF(P282="",0,P282)+IF(Q282="",0,Q282)+IF(R282="",0,R282),1))</f>
        <v/>
      </c>
      <c r="AB282">
        <f>IF(I282="","",ROUND(IF(K282="",0,K282)+IF(L282="",0,L282)+IF(M282="",0,M282)+IF(N282="",0,N282)+IF(O282="",0,O282)+IF(P282="",0,P282)+IF(Q282="",0,Q282)+IF(R282="",0,R282),1))</f>
        <v/>
      </c>
      <c r="AD282">
        <f>IF(A282="","",A282&amp;"-"&amp;TEXT(C282,"yyyymmdd"))</f>
        <v/>
      </c>
    </row>
    <row r="283">
      <c r="B283">
        <f>IFERROR(INDEX(TablaDeportistas[primerApellido],MATCH(A283,TablaDeportistas[ID_Deportista],0))&amp;" "&amp;INDEX(TablaDeportistas[nombres],MATCH(A283,TablaDeportistas[ID_Deportista],0)),"")</f>
        <v/>
      </c>
      <c r="Z283">
        <f>IF(OR(I283="",J283=""),"",ROUND(I283/((J283/100)^2),2))</f>
        <v/>
      </c>
      <c r="AA283">
        <f>IF(I283="","",ROUND(IF(K283="",0,K283)+IF(L283="",0,L283)+IF(O283="",0,O283)+IF(P283="",0,P283)+IF(Q283="",0,Q283)+IF(R283="",0,R283),1))</f>
        <v/>
      </c>
      <c r="AB283">
        <f>IF(I283="","",ROUND(IF(K283="",0,K283)+IF(L283="",0,L283)+IF(M283="",0,M283)+IF(N283="",0,N283)+IF(O283="",0,O283)+IF(P283="",0,P283)+IF(Q283="",0,Q283)+IF(R283="",0,R283),1))</f>
        <v/>
      </c>
      <c r="AD283">
        <f>IF(A283="","",A283&amp;"-"&amp;TEXT(C283,"yyyymmdd"))</f>
        <v/>
      </c>
    </row>
    <row r="284">
      <c r="B284">
        <f>IFERROR(INDEX(TablaDeportistas[primerApellido],MATCH(A284,TablaDeportistas[ID_Deportista],0))&amp;" "&amp;INDEX(TablaDeportistas[nombres],MATCH(A284,TablaDeportistas[ID_Deportista],0)),"")</f>
        <v/>
      </c>
      <c r="Z284">
        <f>IF(OR(I284="",J284=""),"",ROUND(I284/((J284/100)^2),2))</f>
        <v/>
      </c>
      <c r="AA284">
        <f>IF(I284="","",ROUND(IF(K284="",0,K284)+IF(L284="",0,L284)+IF(O284="",0,O284)+IF(P284="",0,P284)+IF(Q284="",0,Q284)+IF(R284="",0,R284),1))</f>
        <v/>
      </c>
      <c r="AB284">
        <f>IF(I284="","",ROUND(IF(K284="",0,K284)+IF(L284="",0,L284)+IF(M284="",0,M284)+IF(N284="",0,N284)+IF(O284="",0,O284)+IF(P284="",0,P284)+IF(Q284="",0,Q284)+IF(R284="",0,R284),1))</f>
        <v/>
      </c>
      <c r="AD284">
        <f>IF(A284="","",A284&amp;"-"&amp;TEXT(C284,"yyyymmdd"))</f>
        <v/>
      </c>
    </row>
    <row r="285">
      <c r="B285">
        <f>IFERROR(INDEX(TablaDeportistas[primerApellido],MATCH(A285,TablaDeportistas[ID_Deportista],0))&amp;" "&amp;INDEX(TablaDeportistas[nombres],MATCH(A285,TablaDeportistas[ID_Deportista],0)),"")</f>
        <v/>
      </c>
      <c r="Z285">
        <f>IF(OR(I285="",J285=""),"",ROUND(I285/((J285/100)^2),2))</f>
        <v/>
      </c>
      <c r="AA285">
        <f>IF(I285="","",ROUND(IF(K285="",0,K285)+IF(L285="",0,L285)+IF(O285="",0,O285)+IF(P285="",0,P285)+IF(Q285="",0,Q285)+IF(R285="",0,R285),1))</f>
        <v/>
      </c>
      <c r="AB285">
        <f>IF(I285="","",ROUND(IF(K285="",0,K285)+IF(L285="",0,L285)+IF(M285="",0,M285)+IF(N285="",0,N285)+IF(O285="",0,O285)+IF(P285="",0,P285)+IF(Q285="",0,Q285)+IF(R285="",0,R285),1))</f>
        <v/>
      </c>
      <c r="AD285">
        <f>IF(A285="","",A285&amp;"-"&amp;TEXT(C285,"yyyymmdd"))</f>
        <v/>
      </c>
    </row>
    <row r="286">
      <c r="B286">
        <f>IFERROR(INDEX(TablaDeportistas[primerApellido],MATCH(A286,TablaDeportistas[ID_Deportista],0))&amp;" "&amp;INDEX(TablaDeportistas[nombres],MATCH(A286,TablaDeportistas[ID_Deportista],0)),"")</f>
        <v/>
      </c>
      <c r="Z286">
        <f>IF(OR(I286="",J286=""),"",ROUND(I286/((J286/100)^2),2))</f>
        <v/>
      </c>
      <c r="AA286">
        <f>IF(I286="","",ROUND(IF(K286="",0,K286)+IF(L286="",0,L286)+IF(O286="",0,O286)+IF(P286="",0,P286)+IF(Q286="",0,Q286)+IF(R286="",0,R286),1))</f>
        <v/>
      </c>
      <c r="AB286">
        <f>IF(I286="","",ROUND(IF(K286="",0,K286)+IF(L286="",0,L286)+IF(M286="",0,M286)+IF(N286="",0,N286)+IF(O286="",0,O286)+IF(P286="",0,P286)+IF(Q286="",0,Q286)+IF(R286="",0,R286),1))</f>
        <v/>
      </c>
      <c r="AD286">
        <f>IF(A286="","",A286&amp;"-"&amp;TEXT(C286,"yyyymmdd"))</f>
        <v/>
      </c>
    </row>
    <row r="287">
      <c r="B287">
        <f>IFERROR(INDEX(TablaDeportistas[primerApellido],MATCH(A287,TablaDeportistas[ID_Deportista],0))&amp;" "&amp;INDEX(TablaDeportistas[nombres],MATCH(A287,TablaDeportistas[ID_Deportista],0)),"")</f>
        <v/>
      </c>
      <c r="Z287">
        <f>IF(OR(I287="",J287=""),"",ROUND(I287/((J287/100)^2),2))</f>
        <v/>
      </c>
      <c r="AA287">
        <f>IF(I287="","",ROUND(IF(K287="",0,K287)+IF(L287="",0,L287)+IF(O287="",0,O287)+IF(P287="",0,P287)+IF(Q287="",0,Q287)+IF(R287="",0,R287),1))</f>
        <v/>
      </c>
      <c r="AB287">
        <f>IF(I287="","",ROUND(IF(K287="",0,K287)+IF(L287="",0,L287)+IF(M287="",0,M287)+IF(N287="",0,N287)+IF(O287="",0,O287)+IF(P287="",0,P287)+IF(Q287="",0,Q287)+IF(R287="",0,R287),1))</f>
        <v/>
      </c>
      <c r="AD287">
        <f>IF(A287="","",A287&amp;"-"&amp;TEXT(C287,"yyyymmdd"))</f>
        <v/>
      </c>
    </row>
    <row r="288">
      <c r="B288">
        <f>IFERROR(INDEX(TablaDeportistas[primerApellido],MATCH(A288,TablaDeportistas[ID_Deportista],0))&amp;" "&amp;INDEX(TablaDeportistas[nombres],MATCH(A288,TablaDeportistas[ID_Deportista],0)),"")</f>
        <v/>
      </c>
      <c r="Z288">
        <f>IF(OR(I288="",J288=""),"",ROUND(I288/((J288/100)^2),2))</f>
        <v/>
      </c>
      <c r="AA288">
        <f>IF(I288="","",ROUND(IF(K288="",0,K288)+IF(L288="",0,L288)+IF(O288="",0,O288)+IF(P288="",0,P288)+IF(Q288="",0,Q288)+IF(R288="",0,R288),1))</f>
        <v/>
      </c>
      <c r="AB288">
        <f>IF(I288="","",ROUND(IF(K288="",0,K288)+IF(L288="",0,L288)+IF(M288="",0,M288)+IF(N288="",0,N288)+IF(O288="",0,O288)+IF(P288="",0,P288)+IF(Q288="",0,Q288)+IF(R288="",0,R288),1))</f>
        <v/>
      </c>
      <c r="AD288">
        <f>IF(A288="","",A288&amp;"-"&amp;TEXT(C288,"yyyymmdd"))</f>
        <v/>
      </c>
    </row>
    <row r="289">
      <c r="B289">
        <f>IFERROR(INDEX(TablaDeportistas[primerApellido],MATCH(A289,TablaDeportistas[ID_Deportista],0))&amp;" "&amp;INDEX(TablaDeportistas[nombres],MATCH(A289,TablaDeportistas[ID_Deportista],0)),"")</f>
        <v/>
      </c>
      <c r="Z289">
        <f>IF(OR(I289="",J289=""),"",ROUND(I289/((J289/100)^2),2))</f>
        <v/>
      </c>
      <c r="AA289">
        <f>IF(I289="","",ROUND(IF(K289="",0,K289)+IF(L289="",0,L289)+IF(O289="",0,O289)+IF(P289="",0,P289)+IF(Q289="",0,Q289)+IF(R289="",0,R289),1))</f>
        <v/>
      </c>
      <c r="AB289">
        <f>IF(I289="","",ROUND(IF(K289="",0,K289)+IF(L289="",0,L289)+IF(M289="",0,M289)+IF(N289="",0,N289)+IF(O289="",0,O289)+IF(P289="",0,P289)+IF(Q289="",0,Q289)+IF(R289="",0,R289),1))</f>
        <v/>
      </c>
      <c r="AD289">
        <f>IF(A289="","",A289&amp;"-"&amp;TEXT(C289,"yyyymmdd"))</f>
        <v/>
      </c>
    </row>
    <row r="290">
      <c r="B290">
        <f>IFERROR(INDEX(TablaDeportistas[primerApellido],MATCH(A290,TablaDeportistas[ID_Deportista],0))&amp;" "&amp;INDEX(TablaDeportistas[nombres],MATCH(A290,TablaDeportistas[ID_Deportista],0)),"")</f>
        <v/>
      </c>
      <c r="Z290">
        <f>IF(OR(I290="",J290=""),"",ROUND(I290/((J290/100)^2),2))</f>
        <v/>
      </c>
      <c r="AA290">
        <f>IF(I290="","",ROUND(IF(K290="",0,K290)+IF(L290="",0,L290)+IF(O290="",0,O290)+IF(P290="",0,P290)+IF(Q290="",0,Q290)+IF(R290="",0,R290),1))</f>
        <v/>
      </c>
      <c r="AB290">
        <f>IF(I290="","",ROUND(IF(K290="",0,K290)+IF(L290="",0,L290)+IF(M290="",0,M290)+IF(N290="",0,N290)+IF(O290="",0,O290)+IF(P290="",0,P290)+IF(Q290="",0,Q290)+IF(R290="",0,R290),1))</f>
        <v/>
      </c>
      <c r="AD290">
        <f>IF(A290="","",A290&amp;"-"&amp;TEXT(C290,"yyyymmdd"))</f>
        <v/>
      </c>
    </row>
    <row r="291">
      <c r="B291">
        <f>IFERROR(INDEX(TablaDeportistas[primerApellido],MATCH(A291,TablaDeportistas[ID_Deportista],0))&amp;" "&amp;INDEX(TablaDeportistas[nombres],MATCH(A291,TablaDeportistas[ID_Deportista],0)),"")</f>
        <v/>
      </c>
      <c r="Z291">
        <f>IF(OR(I291="",J291=""),"",ROUND(I291/((J291/100)^2),2))</f>
        <v/>
      </c>
      <c r="AA291">
        <f>IF(I291="","",ROUND(IF(K291="",0,K291)+IF(L291="",0,L291)+IF(O291="",0,O291)+IF(P291="",0,P291)+IF(Q291="",0,Q291)+IF(R291="",0,R291),1))</f>
        <v/>
      </c>
      <c r="AB291">
        <f>IF(I291="","",ROUND(IF(K291="",0,K291)+IF(L291="",0,L291)+IF(M291="",0,M291)+IF(N291="",0,N291)+IF(O291="",0,O291)+IF(P291="",0,P291)+IF(Q291="",0,Q291)+IF(R291="",0,R291),1))</f>
        <v/>
      </c>
      <c r="AD291">
        <f>IF(A291="","",A291&amp;"-"&amp;TEXT(C291,"yyyymmdd"))</f>
        <v/>
      </c>
    </row>
    <row r="292">
      <c r="B292">
        <f>IFERROR(INDEX(TablaDeportistas[primerApellido],MATCH(A292,TablaDeportistas[ID_Deportista],0))&amp;" "&amp;INDEX(TablaDeportistas[nombres],MATCH(A292,TablaDeportistas[ID_Deportista],0)),"")</f>
        <v/>
      </c>
      <c r="Z292">
        <f>IF(OR(I292="",J292=""),"",ROUND(I292/((J292/100)^2),2))</f>
        <v/>
      </c>
      <c r="AA292">
        <f>IF(I292="","",ROUND(IF(K292="",0,K292)+IF(L292="",0,L292)+IF(O292="",0,O292)+IF(P292="",0,P292)+IF(Q292="",0,Q292)+IF(R292="",0,R292),1))</f>
        <v/>
      </c>
      <c r="AB292">
        <f>IF(I292="","",ROUND(IF(K292="",0,K292)+IF(L292="",0,L292)+IF(M292="",0,M292)+IF(N292="",0,N292)+IF(O292="",0,O292)+IF(P292="",0,P292)+IF(Q292="",0,Q292)+IF(R292="",0,R292),1))</f>
        <v/>
      </c>
      <c r="AD292">
        <f>IF(A292="","",A292&amp;"-"&amp;TEXT(C292,"yyyymmdd"))</f>
        <v/>
      </c>
    </row>
    <row r="293">
      <c r="B293">
        <f>IFERROR(INDEX(TablaDeportistas[primerApellido],MATCH(A293,TablaDeportistas[ID_Deportista],0))&amp;" "&amp;INDEX(TablaDeportistas[nombres],MATCH(A293,TablaDeportistas[ID_Deportista],0)),"")</f>
        <v/>
      </c>
      <c r="Z293">
        <f>IF(OR(I293="",J293=""),"",ROUND(I293/((J293/100)^2),2))</f>
        <v/>
      </c>
      <c r="AA293">
        <f>IF(I293="","",ROUND(IF(K293="",0,K293)+IF(L293="",0,L293)+IF(O293="",0,O293)+IF(P293="",0,P293)+IF(Q293="",0,Q293)+IF(R293="",0,R293),1))</f>
        <v/>
      </c>
      <c r="AB293">
        <f>IF(I293="","",ROUND(IF(K293="",0,K293)+IF(L293="",0,L293)+IF(M293="",0,M293)+IF(N293="",0,N293)+IF(O293="",0,O293)+IF(P293="",0,P293)+IF(Q293="",0,Q293)+IF(R293="",0,R293),1))</f>
        <v/>
      </c>
      <c r="AD293">
        <f>IF(A293="","",A293&amp;"-"&amp;TEXT(C293,"yyyymmdd"))</f>
        <v/>
      </c>
    </row>
    <row r="294">
      <c r="B294">
        <f>IFERROR(INDEX(TablaDeportistas[primerApellido],MATCH(A294,TablaDeportistas[ID_Deportista],0))&amp;" "&amp;INDEX(TablaDeportistas[nombres],MATCH(A294,TablaDeportistas[ID_Deportista],0)),"")</f>
        <v/>
      </c>
      <c r="Z294">
        <f>IF(OR(I294="",J294=""),"",ROUND(I294/((J294/100)^2),2))</f>
        <v/>
      </c>
      <c r="AA294">
        <f>IF(I294="","",ROUND(IF(K294="",0,K294)+IF(L294="",0,L294)+IF(O294="",0,O294)+IF(P294="",0,P294)+IF(Q294="",0,Q294)+IF(R294="",0,R294),1))</f>
        <v/>
      </c>
      <c r="AB294">
        <f>IF(I294="","",ROUND(IF(K294="",0,K294)+IF(L294="",0,L294)+IF(M294="",0,M294)+IF(N294="",0,N294)+IF(O294="",0,O294)+IF(P294="",0,P294)+IF(Q294="",0,Q294)+IF(R294="",0,R294),1))</f>
        <v/>
      </c>
      <c r="AD294">
        <f>IF(A294="","",A294&amp;"-"&amp;TEXT(C294,"yyyymmdd"))</f>
        <v/>
      </c>
    </row>
    <row r="295">
      <c r="B295">
        <f>IFERROR(INDEX(TablaDeportistas[primerApellido],MATCH(A295,TablaDeportistas[ID_Deportista],0))&amp;" "&amp;INDEX(TablaDeportistas[nombres],MATCH(A295,TablaDeportistas[ID_Deportista],0)),"")</f>
        <v/>
      </c>
      <c r="Z295">
        <f>IF(OR(I295="",J295=""),"",ROUND(I295/((J295/100)^2),2))</f>
        <v/>
      </c>
      <c r="AA295">
        <f>IF(I295="","",ROUND(IF(K295="",0,K295)+IF(L295="",0,L295)+IF(O295="",0,O295)+IF(P295="",0,P295)+IF(Q295="",0,Q295)+IF(R295="",0,R295),1))</f>
        <v/>
      </c>
      <c r="AB295">
        <f>IF(I295="","",ROUND(IF(K295="",0,K295)+IF(L295="",0,L295)+IF(M295="",0,M295)+IF(N295="",0,N295)+IF(O295="",0,O295)+IF(P295="",0,P295)+IF(Q295="",0,Q295)+IF(R295="",0,R295),1))</f>
        <v/>
      </c>
      <c r="AD295">
        <f>IF(A295="","",A295&amp;"-"&amp;TEXT(C295,"yyyymmdd"))</f>
        <v/>
      </c>
    </row>
    <row r="296">
      <c r="B296">
        <f>IFERROR(INDEX(TablaDeportistas[primerApellido],MATCH(A296,TablaDeportistas[ID_Deportista],0))&amp;" "&amp;INDEX(TablaDeportistas[nombres],MATCH(A296,TablaDeportistas[ID_Deportista],0)),"")</f>
        <v/>
      </c>
      <c r="Z296">
        <f>IF(OR(I296="",J296=""),"",ROUND(I296/((J296/100)^2),2))</f>
        <v/>
      </c>
      <c r="AA296">
        <f>IF(I296="","",ROUND(IF(K296="",0,K296)+IF(L296="",0,L296)+IF(O296="",0,O296)+IF(P296="",0,P296)+IF(Q296="",0,Q296)+IF(R296="",0,R296),1))</f>
        <v/>
      </c>
      <c r="AB296">
        <f>IF(I296="","",ROUND(IF(K296="",0,K296)+IF(L296="",0,L296)+IF(M296="",0,M296)+IF(N296="",0,N296)+IF(O296="",0,O296)+IF(P296="",0,P296)+IF(Q296="",0,Q296)+IF(R296="",0,R296),1))</f>
        <v/>
      </c>
      <c r="AD296">
        <f>IF(A296="","",A296&amp;"-"&amp;TEXT(C296,"yyyymmdd"))</f>
        <v/>
      </c>
    </row>
    <row r="297">
      <c r="B297">
        <f>IFERROR(INDEX(TablaDeportistas[primerApellido],MATCH(A297,TablaDeportistas[ID_Deportista],0))&amp;" "&amp;INDEX(TablaDeportistas[nombres],MATCH(A297,TablaDeportistas[ID_Deportista],0)),"")</f>
        <v/>
      </c>
      <c r="Z297">
        <f>IF(OR(I297="",J297=""),"",ROUND(I297/((J297/100)^2),2))</f>
        <v/>
      </c>
      <c r="AA297">
        <f>IF(I297="","",ROUND(IF(K297="",0,K297)+IF(L297="",0,L297)+IF(O297="",0,O297)+IF(P297="",0,P297)+IF(Q297="",0,Q297)+IF(R297="",0,R297),1))</f>
        <v/>
      </c>
      <c r="AB297">
        <f>IF(I297="","",ROUND(IF(K297="",0,K297)+IF(L297="",0,L297)+IF(M297="",0,M297)+IF(N297="",0,N297)+IF(O297="",0,O297)+IF(P297="",0,P297)+IF(Q297="",0,Q297)+IF(R297="",0,R297),1))</f>
        <v/>
      </c>
      <c r="AD297">
        <f>IF(A297="","",A297&amp;"-"&amp;TEXT(C297,"yyyymmdd"))</f>
        <v/>
      </c>
    </row>
    <row r="298">
      <c r="B298">
        <f>IFERROR(INDEX(TablaDeportistas[primerApellido],MATCH(A298,TablaDeportistas[ID_Deportista],0))&amp;" "&amp;INDEX(TablaDeportistas[nombres],MATCH(A298,TablaDeportistas[ID_Deportista],0)),"")</f>
        <v/>
      </c>
      <c r="Z298">
        <f>IF(OR(I298="",J298=""),"",ROUND(I298/((J298/100)^2),2))</f>
        <v/>
      </c>
      <c r="AA298">
        <f>IF(I298="","",ROUND(IF(K298="",0,K298)+IF(L298="",0,L298)+IF(O298="",0,O298)+IF(P298="",0,P298)+IF(Q298="",0,Q298)+IF(R298="",0,R298),1))</f>
        <v/>
      </c>
      <c r="AB298">
        <f>IF(I298="","",ROUND(IF(K298="",0,K298)+IF(L298="",0,L298)+IF(M298="",0,M298)+IF(N298="",0,N298)+IF(O298="",0,O298)+IF(P298="",0,P298)+IF(Q298="",0,Q298)+IF(R298="",0,R298),1))</f>
        <v/>
      </c>
      <c r="AD298">
        <f>IF(A298="","",A298&amp;"-"&amp;TEXT(C298,"yyyymmdd"))</f>
        <v/>
      </c>
    </row>
    <row r="299">
      <c r="B299">
        <f>IFERROR(INDEX(TablaDeportistas[primerApellido],MATCH(A299,TablaDeportistas[ID_Deportista],0))&amp;" "&amp;INDEX(TablaDeportistas[nombres],MATCH(A299,TablaDeportistas[ID_Deportista],0)),"")</f>
        <v/>
      </c>
      <c r="Z299">
        <f>IF(OR(I299="",J299=""),"",ROUND(I299/((J299/100)^2),2))</f>
        <v/>
      </c>
      <c r="AA299">
        <f>IF(I299="","",ROUND(IF(K299="",0,K299)+IF(L299="",0,L299)+IF(O299="",0,O299)+IF(P299="",0,P299)+IF(Q299="",0,Q299)+IF(R299="",0,R299),1))</f>
        <v/>
      </c>
      <c r="AB299">
        <f>IF(I299="","",ROUND(IF(K299="",0,K299)+IF(L299="",0,L299)+IF(M299="",0,M299)+IF(N299="",0,N299)+IF(O299="",0,O299)+IF(P299="",0,P299)+IF(Q299="",0,Q299)+IF(R299="",0,R299),1))</f>
        <v/>
      </c>
      <c r="AD299">
        <f>IF(A299="","",A299&amp;"-"&amp;TEXT(C299,"yyyymmdd"))</f>
        <v/>
      </c>
    </row>
    <row r="300">
      <c r="B300">
        <f>IFERROR(INDEX(TablaDeportistas[primerApellido],MATCH(A300,TablaDeportistas[ID_Deportista],0))&amp;" "&amp;INDEX(TablaDeportistas[nombres],MATCH(A300,TablaDeportistas[ID_Deportista],0)),"")</f>
        <v/>
      </c>
      <c r="Z300">
        <f>IF(OR(I300="",J300=""),"",ROUND(I300/((J300/100)^2),2))</f>
        <v/>
      </c>
      <c r="AA300">
        <f>IF(I300="","",ROUND(IF(K300="",0,K300)+IF(L300="",0,L300)+IF(O300="",0,O300)+IF(P300="",0,P300)+IF(Q300="",0,Q300)+IF(R300="",0,R300),1))</f>
        <v/>
      </c>
      <c r="AB300">
        <f>IF(I300="","",ROUND(IF(K300="",0,K300)+IF(L300="",0,L300)+IF(M300="",0,M300)+IF(N300="",0,N300)+IF(O300="",0,O300)+IF(P300="",0,P300)+IF(Q300="",0,Q300)+IF(R300="",0,R300),1))</f>
        <v/>
      </c>
      <c r="AD300">
        <f>IF(A300="","",A300&amp;"-"&amp;TEXT(C300,"yyyymmdd"))</f>
        <v/>
      </c>
    </row>
    <row r="301">
      <c r="B301">
        <f>IFERROR(INDEX(TablaDeportistas[primerApellido],MATCH(A301,TablaDeportistas[ID_Deportista],0))&amp;" "&amp;INDEX(TablaDeportistas[nombres],MATCH(A301,TablaDeportistas[ID_Deportista],0)),"")</f>
        <v/>
      </c>
      <c r="Z301">
        <f>IF(OR(I301="",J301=""),"",ROUND(I301/((J301/100)^2),2))</f>
        <v/>
      </c>
      <c r="AA301">
        <f>IF(I301="","",ROUND(IF(K301="",0,K301)+IF(L301="",0,L301)+IF(O301="",0,O301)+IF(P301="",0,P301)+IF(Q301="",0,Q301)+IF(R301="",0,R301),1))</f>
        <v/>
      </c>
      <c r="AB301">
        <f>IF(I301="","",ROUND(IF(K301="",0,K301)+IF(L301="",0,L301)+IF(M301="",0,M301)+IF(N301="",0,N301)+IF(O301="",0,O301)+IF(P301="",0,P301)+IF(Q301="",0,Q301)+IF(R301="",0,R301),1))</f>
        <v/>
      </c>
      <c r="AD301">
        <f>IF(A301="","",A301&amp;"-"&amp;TEXT(C301,"yyyymmdd"))</f>
        <v/>
      </c>
    </row>
    <row r="302">
      <c r="B302">
        <f>IFERROR(INDEX(TablaDeportistas[primerApellido],MATCH(A302,TablaDeportistas[ID_Deportista],0))&amp;" "&amp;INDEX(TablaDeportistas[nombres],MATCH(A302,TablaDeportistas[ID_Deportista],0)),"")</f>
        <v/>
      </c>
      <c r="Z302">
        <f>IF(OR(I302="",J302=""),"",ROUND(I302/((J302/100)^2),2))</f>
        <v/>
      </c>
      <c r="AA302">
        <f>IF(I302="","",ROUND(IF(K302="",0,K302)+IF(L302="",0,L302)+IF(O302="",0,O302)+IF(P302="",0,P302)+IF(Q302="",0,Q302)+IF(R302="",0,R302),1))</f>
        <v/>
      </c>
      <c r="AB302">
        <f>IF(I302="","",ROUND(IF(K302="",0,K302)+IF(L302="",0,L302)+IF(M302="",0,M302)+IF(N302="",0,N302)+IF(O302="",0,O302)+IF(P302="",0,P302)+IF(Q302="",0,Q302)+IF(R302="",0,R302),1))</f>
        <v/>
      </c>
      <c r="AD302">
        <f>IF(A302="","",A302&amp;"-"&amp;TEXT(C302,"yyyymmdd"))</f>
        <v/>
      </c>
    </row>
    <row r="303">
      <c r="B303">
        <f>IFERROR(INDEX(TablaDeportistas[primerApellido],MATCH(A303,TablaDeportistas[ID_Deportista],0))&amp;" "&amp;INDEX(TablaDeportistas[nombres],MATCH(A303,TablaDeportistas[ID_Deportista],0)),"")</f>
        <v/>
      </c>
      <c r="Z303">
        <f>IF(OR(I303="",J303=""),"",ROUND(I303/((J303/100)^2),2))</f>
        <v/>
      </c>
      <c r="AA303">
        <f>IF(I303="","",ROUND(IF(K303="",0,K303)+IF(L303="",0,L303)+IF(O303="",0,O303)+IF(P303="",0,P303)+IF(Q303="",0,Q303)+IF(R303="",0,R303),1))</f>
        <v/>
      </c>
      <c r="AB303">
        <f>IF(I303="","",ROUND(IF(K303="",0,K303)+IF(L303="",0,L303)+IF(M303="",0,M303)+IF(N303="",0,N303)+IF(O303="",0,O303)+IF(P303="",0,P303)+IF(Q303="",0,Q303)+IF(R303="",0,R303),1))</f>
        <v/>
      </c>
      <c r="AD303">
        <f>IF(A303="","",A303&amp;"-"&amp;TEXT(C303,"yyyymmdd"))</f>
        <v/>
      </c>
    </row>
    <row r="304">
      <c r="B304">
        <f>IFERROR(INDEX(TablaDeportistas[primerApellido],MATCH(A304,TablaDeportistas[ID_Deportista],0))&amp;" "&amp;INDEX(TablaDeportistas[nombres],MATCH(A304,TablaDeportistas[ID_Deportista],0)),"")</f>
        <v/>
      </c>
      <c r="Z304">
        <f>IF(OR(I304="",J304=""),"",ROUND(I304/((J304/100)^2),2))</f>
        <v/>
      </c>
      <c r="AA304">
        <f>IF(I304="","",ROUND(IF(K304="",0,K304)+IF(L304="",0,L304)+IF(O304="",0,O304)+IF(P304="",0,P304)+IF(Q304="",0,Q304)+IF(R304="",0,R304),1))</f>
        <v/>
      </c>
      <c r="AB304">
        <f>IF(I304="","",ROUND(IF(K304="",0,K304)+IF(L304="",0,L304)+IF(M304="",0,M304)+IF(N304="",0,N304)+IF(O304="",0,O304)+IF(P304="",0,P304)+IF(Q304="",0,Q304)+IF(R304="",0,R304),1))</f>
        <v/>
      </c>
      <c r="AD304">
        <f>IF(A304="","",A304&amp;"-"&amp;TEXT(C304,"yyyymmdd"))</f>
        <v/>
      </c>
    </row>
    <row r="305">
      <c r="B305">
        <f>IFERROR(INDEX(TablaDeportistas[primerApellido],MATCH(A305,TablaDeportistas[ID_Deportista],0))&amp;" "&amp;INDEX(TablaDeportistas[nombres],MATCH(A305,TablaDeportistas[ID_Deportista],0)),"")</f>
        <v/>
      </c>
      <c r="Z305">
        <f>IF(OR(I305="",J305=""),"",ROUND(I305/((J305/100)^2),2))</f>
        <v/>
      </c>
      <c r="AA305">
        <f>IF(I305="","",ROUND(IF(K305="",0,K305)+IF(L305="",0,L305)+IF(O305="",0,O305)+IF(P305="",0,P305)+IF(Q305="",0,Q305)+IF(R305="",0,R305),1))</f>
        <v/>
      </c>
      <c r="AB305">
        <f>IF(I305="","",ROUND(IF(K305="",0,K305)+IF(L305="",0,L305)+IF(M305="",0,M305)+IF(N305="",0,N305)+IF(O305="",0,O305)+IF(P305="",0,P305)+IF(Q305="",0,Q305)+IF(R305="",0,R305),1))</f>
        <v/>
      </c>
      <c r="AD305">
        <f>IF(A305="","",A305&amp;"-"&amp;TEXT(C305,"yyyymmdd"))</f>
        <v/>
      </c>
    </row>
    <row r="306">
      <c r="B306">
        <f>IFERROR(INDEX(TablaDeportistas[primerApellido],MATCH(A306,TablaDeportistas[ID_Deportista],0))&amp;" "&amp;INDEX(TablaDeportistas[nombres],MATCH(A306,TablaDeportistas[ID_Deportista],0)),"")</f>
        <v/>
      </c>
      <c r="Z306">
        <f>IF(OR(I306="",J306=""),"",ROUND(I306/((J306/100)^2),2))</f>
        <v/>
      </c>
      <c r="AA306">
        <f>IF(I306="","",ROUND(IF(K306="",0,K306)+IF(L306="",0,L306)+IF(O306="",0,O306)+IF(P306="",0,P306)+IF(Q306="",0,Q306)+IF(R306="",0,R306),1))</f>
        <v/>
      </c>
      <c r="AB306">
        <f>IF(I306="","",ROUND(IF(K306="",0,K306)+IF(L306="",0,L306)+IF(M306="",0,M306)+IF(N306="",0,N306)+IF(O306="",0,O306)+IF(P306="",0,P306)+IF(Q306="",0,Q306)+IF(R306="",0,R306),1))</f>
        <v/>
      </c>
      <c r="AD306">
        <f>IF(A306="","",A306&amp;"-"&amp;TEXT(C306,"yyyymmdd"))</f>
        <v/>
      </c>
    </row>
    <row r="307">
      <c r="B307">
        <f>IFERROR(INDEX(TablaDeportistas[primerApellido],MATCH(A307,TablaDeportistas[ID_Deportista],0))&amp;" "&amp;INDEX(TablaDeportistas[nombres],MATCH(A307,TablaDeportistas[ID_Deportista],0)),"")</f>
        <v/>
      </c>
      <c r="Z307">
        <f>IF(OR(I307="",J307=""),"",ROUND(I307/((J307/100)^2),2))</f>
        <v/>
      </c>
      <c r="AA307">
        <f>IF(I307="","",ROUND(IF(K307="",0,K307)+IF(L307="",0,L307)+IF(O307="",0,O307)+IF(P307="",0,P307)+IF(Q307="",0,Q307)+IF(R307="",0,R307),1))</f>
        <v/>
      </c>
      <c r="AB307">
        <f>IF(I307="","",ROUND(IF(K307="",0,K307)+IF(L307="",0,L307)+IF(M307="",0,M307)+IF(N307="",0,N307)+IF(O307="",0,O307)+IF(P307="",0,P307)+IF(Q307="",0,Q307)+IF(R307="",0,R307),1))</f>
        <v/>
      </c>
      <c r="AD307">
        <f>IF(A307="","",A307&amp;"-"&amp;TEXT(C307,"yyyymmdd"))</f>
        <v/>
      </c>
    </row>
    <row r="308">
      <c r="B308">
        <f>IFERROR(INDEX(TablaDeportistas[primerApellido],MATCH(A308,TablaDeportistas[ID_Deportista],0))&amp;" "&amp;INDEX(TablaDeportistas[nombres],MATCH(A308,TablaDeportistas[ID_Deportista],0)),"")</f>
        <v/>
      </c>
      <c r="Z308">
        <f>IF(OR(I308="",J308=""),"",ROUND(I308/((J308/100)^2),2))</f>
        <v/>
      </c>
      <c r="AA308">
        <f>IF(I308="","",ROUND(IF(K308="",0,K308)+IF(L308="",0,L308)+IF(O308="",0,O308)+IF(P308="",0,P308)+IF(Q308="",0,Q308)+IF(R308="",0,R308),1))</f>
        <v/>
      </c>
      <c r="AB308">
        <f>IF(I308="","",ROUND(IF(K308="",0,K308)+IF(L308="",0,L308)+IF(M308="",0,M308)+IF(N308="",0,N308)+IF(O308="",0,O308)+IF(P308="",0,P308)+IF(Q308="",0,Q308)+IF(R308="",0,R308),1))</f>
        <v/>
      </c>
      <c r="AD308">
        <f>IF(A308="","",A308&amp;"-"&amp;TEXT(C308,"yyyymmdd"))</f>
        <v/>
      </c>
    </row>
    <row r="309">
      <c r="B309">
        <f>IFERROR(INDEX(TablaDeportistas[primerApellido],MATCH(A309,TablaDeportistas[ID_Deportista],0))&amp;" "&amp;INDEX(TablaDeportistas[nombres],MATCH(A309,TablaDeportistas[ID_Deportista],0)),"")</f>
        <v/>
      </c>
      <c r="Z309">
        <f>IF(OR(I309="",J309=""),"",ROUND(I309/((J309/100)^2),2))</f>
        <v/>
      </c>
      <c r="AA309">
        <f>IF(I309="","",ROUND(IF(K309="",0,K309)+IF(L309="",0,L309)+IF(O309="",0,O309)+IF(P309="",0,P309)+IF(Q309="",0,Q309)+IF(R309="",0,R309),1))</f>
        <v/>
      </c>
      <c r="AB309">
        <f>IF(I309="","",ROUND(IF(K309="",0,K309)+IF(L309="",0,L309)+IF(M309="",0,M309)+IF(N309="",0,N309)+IF(O309="",0,O309)+IF(P309="",0,P309)+IF(Q309="",0,Q309)+IF(R309="",0,R309),1))</f>
        <v/>
      </c>
      <c r="AD309">
        <f>IF(A309="","",A309&amp;"-"&amp;TEXT(C309,"yyyymmdd"))</f>
        <v/>
      </c>
    </row>
    <row r="310">
      <c r="B310">
        <f>IFERROR(INDEX(TablaDeportistas[primerApellido],MATCH(A310,TablaDeportistas[ID_Deportista],0))&amp;" "&amp;INDEX(TablaDeportistas[nombres],MATCH(A310,TablaDeportistas[ID_Deportista],0)),"")</f>
        <v/>
      </c>
      <c r="Z310">
        <f>IF(OR(I310="",J310=""),"",ROUND(I310/((J310/100)^2),2))</f>
        <v/>
      </c>
      <c r="AA310">
        <f>IF(I310="","",ROUND(IF(K310="",0,K310)+IF(L310="",0,L310)+IF(O310="",0,O310)+IF(P310="",0,P310)+IF(Q310="",0,Q310)+IF(R310="",0,R310),1))</f>
        <v/>
      </c>
      <c r="AB310">
        <f>IF(I310="","",ROUND(IF(K310="",0,K310)+IF(L310="",0,L310)+IF(M310="",0,M310)+IF(N310="",0,N310)+IF(O310="",0,O310)+IF(P310="",0,P310)+IF(Q310="",0,Q310)+IF(R310="",0,R310),1))</f>
        <v/>
      </c>
      <c r="AD310">
        <f>IF(A310="","",A310&amp;"-"&amp;TEXT(C310,"yyyymmdd"))</f>
        <v/>
      </c>
    </row>
    <row r="311">
      <c r="B311">
        <f>IFERROR(INDEX(TablaDeportistas[primerApellido],MATCH(A311,TablaDeportistas[ID_Deportista],0))&amp;" "&amp;INDEX(TablaDeportistas[nombres],MATCH(A311,TablaDeportistas[ID_Deportista],0)),"")</f>
        <v/>
      </c>
      <c r="Z311">
        <f>IF(OR(I311="",J311=""),"",ROUND(I311/((J311/100)^2),2))</f>
        <v/>
      </c>
      <c r="AA311">
        <f>IF(I311="","",ROUND(IF(K311="",0,K311)+IF(L311="",0,L311)+IF(O311="",0,O311)+IF(P311="",0,P311)+IF(Q311="",0,Q311)+IF(R311="",0,R311),1))</f>
        <v/>
      </c>
      <c r="AB311">
        <f>IF(I311="","",ROUND(IF(K311="",0,K311)+IF(L311="",0,L311)+IF(M311="",0,M311)+IF(N311="",0,N311)+IF(O311="",0,O311)+IF(P311="",0,P311)+IF(Q311="",0,Q311)+IF(R311="",0,R311),1))</f>
        <v/>
      </c>
      <c r="AD311">
        <f>IF(A311="","",A311&amp;"-"&amp;TEXT(C311,"yyyymmdd"))</f>
        <v/>
      </c>
    </row>
    <row r="312">
      <c r="B312">
        <f>IFERROR(INDEX(TablaDeportistas[primerApellido],MATCH(A312,TablaDeportistas[ID_Deportista],0))&amp;" "&amp;INDEX(TablaDeportistas[nombres],MATCH(A312,TablaDeportistas[ID_Deportista],0)),"")</f>
        <v/>
      </c>
      <c r="Z312">
        <f>IF(OR(I312="",J312=""),"",ROUND(I312/((J312/100)^2),2))</f>
        <v/>
      </c>
      <c r="AA312">
        <f>IF(I312="","",ROUND(IF(K312="",0,K312)+IF(L312="",0,L312)+IF(O312="",0,O312)+IF(P312="",0,P312)+IF(Q312="",0,Q312)+IF(R312="",0,R312),1))</f>
        <v/>
      </c>
      <c r="AB312">
        <f>IF(I312="","",ROUND(IF(K312="",0,K312)+IF(L312="",0,L312)+IF(M312="",0,M312)+IF(N312="",0,N312)+IF(O312="",0,O312)+IF(P312="",0,P312)+IF(Q312="",0,Q312)+IF(R312="",0,R312),1))</f>
        <v/>
      </c>
      <c r="AD312">
        <f>IF(A312="","",A312&amp;"-"&amp;TEXT(C312,"yyyymmdd"))</f>
        <v/>
      </c>
    </row>
    <row r="313">
      <c r="B313">
        <f>IFERROR(INDEX(TablaDeportistas[primerApellido],MATCH(A313,TablaDeportistas[ID_Deportista],0))&amp;" "&amp;INDEX(TablaDeportistas[nombres],MATCH(A313,TablaDeportistas[ID_Deportista],0)),"")</f>
        <v/>
      </c>
      <c r="Z313">
        <f>IF(OR(I313="",J313=""),"",ROUND(I313/((J313/100)^2),2))</f>
        <v/>
      </c>
      <c r="AA313">
        <f>IF(I313="","",ROUND(IF(K313="",0,K313)+IF(L313="",0,L313)+IF(O313="",0,O313)+IF(P313="",0,P313)+IF(Q313="",0,Q313)+IF(R313="",0,R313),1))</f>
        <v/>
      </c>
      <c r="AB313">
        <f>IF(I313="","",ROUND(IF(K313="",0,K313)+IF(L313="",0,L313)+IF(M313="",0,M313)+IF(N313="",0,N313)+IF(O313="",0,O313)+IF(P313="",0,P313)+IF(Q313="",0,Q313)+IF(R313="",0,R313),1))</f>
        <v/>
      </c>
      <c r="AD313">
        <f>IF(A313="","",A313&amp;"-"&amp;TEXT(C313,"yyyymmdd"))</f>
        <v/>
      </c>
    </row>
    <row r="314">
      <c r="B314">
        <f>IFERROR(INDEX(TablaDeportistas[primerApellido],MATCH(A314,TablaDeportistas[ID_Deportista],0))&amp;" "&amp;INDEX(TablaDeportistas[nombres],MATCH(A314,TablaDeportistas[ID_Deportista],0)),"")</f>
        <v/>
      </c>
      <c r="Z314">
        <f>IF(OR(I314="",J314=""),"",ROUND(I314/((J314/100)^2),2))</f>
        <v/>
      </c>
      <c r="AA314">
        <f>IF(I314="","",ROUND(IF(K314="",0,K314)+IF(L314="",0,L314)+IF(O314="",0,O314)+IF(P314="",0,P314)+IF(Q314="",0,Q314)+IF(R314="",0,R314),1))</f>
        <v/>
      </c>
      <c r="AB314">
        <f>IF(I314="","",ROUND(IF(K314="",0,K314)+IF(L314="",0,L314)+IF(M314="",0,M314)+IF(N314="",0,N314)+IF(O314="",0,O314)+IF(P314="",0,P314)+IF(Q314="",0,Q314)+IF(R314="",0,R314),1))</f>
        <v/>
      </c>
      <c r="AD314">
        <f>IF(A314="","",A314&amp;"-"&amp;TEXT(C314,"yyyymmdd"))</f>
        <v/>
      </c>
    </row>
    <row r="315">
      <c r="B315">
        <f>IFERROR(INDEX(TablaDeportistas[primerApellido],MATCH(A315,TablaDeportistas[ID_Deportista],0))&amp;" "&amp;INDEX(TablaDeportistas[nombres],MATCH(A315,TablaDeportistas[ID_Deportista],0)),"")</f>
        <v/>
      </c>
      <c r="Z315">
        <f>IF(OR(I315="",J315=""),"",ROUND(I315/((J315/100)^2),2))</f>
        <v/>
      </c>
      <c r="AA315">
        <f>IF(I315="","",ROUND(IF(K315="",0,K315)+IF(L315="",0,L315)+IF(O315="",0,O315)+IF(P315="",0,P315)+IF(Q315="",0,Q315)+IF(R315="",0,R315),1))</f>
        <v/>
      </c>
      <c r="AB315">
        <f>IF(I315="","",ROUND(IF(K315="",0,K315)+IF(L315="",0,L315)+IF(M315="",0,M315)+IF(N315="",0,N315)+IF(O315="",0,O315)+IF(P315="",0,P315)+IF(Q315="",0,Q315)+IF(R315="",0,R315),1))</f>
        <v/>
      </c>
      <c r="AD315">
        <f>IF(A315="","",A315&amp;"-"&amp;TEXT(C315,"yyyymmdd"))</f>
        <v/>
      </c>
    </row>
    <row r="316">
      <c r="B316">
        <f>IFERROR(INDEX(TablaDeportistas[primerApellido],MATCH(A316,TablaDeportistas[ID_Deportista],0))&amp;" "&amp;INDEX(TablaDeportistas[nombres],MATCH(A316,TablaDeportistas[ID_Deportista],0)),"")</f>
        <v/>
      </c>
      <c r="Z316">
        <f>IF(OR(I316="",J316=""),"",ROUND(I316/((J316/100)^2),2))</f>
        <v/>
      </c>
      <c r="AA316">
        <f>IF(I316="","",ROUND(IF(K316="",0,K316)+IF(L316="",0,L316)+IF(O316="",0,O316)+IF(P316="",0,P316)+IF(Q316="",0,Q316)+IF(R316="",0,R316),1))</f>
        <v/>
      </c>
      <c r="AB316">
        <f>IF(I316="","",ROUND(IF(K316="",0,K316)+IF(L316="",0,L316)+IF(M316="",0,M316)+IF(N316="",0,N316)+IF(O316="",0,O316)+IF(P316="",0,P316)+IF(Q316="",0,Q316)+IF(R316="",0,R316),1))</f>
        <v/>
      </c>
      <c r="AD316">
        <f>IF(A316="","",A316&amp;"-"&amp;TEXT(C316,"yyyymmdd"))</f>
        <v/>
      </c>
    </row>
    <row r="317">
      <c r="B317">
        <f>IFERROR(INDEX(TablaDeportistas[primerApellido],MATCH(A317,TablaDeportistas[ID_Deportista],0))&amp;" "&amp;INDEX(TablaDeportistas[nombres],MATCH(A317,TablaDeportistas[ID_Deportista],0)),"")</f>
        <v/>
      </c>
      <c r="Z317">
        <f>IF(OR(I317="",J317=""),"",ROUND(I317/((J317/100)^2),2))</f>
        <v/>
      </c>
      <c r="AA317">
        <f>IF(I317="","",ROUND(IF(K317="",0,K317)+IF(L317="",0,L317)+IF(O317="",0,O317)+IF(P317="",0,P317)+IF(Q317="",0,Q317)+IF(R317="",0,R317),1))</f>
        <v/>
      </c>
      <c r="AB317">
        <f>IF(I317="","",ROUND(IF(K317="",0,K317)+IF(L317="",0,L317)+IF(M317="",0,M317)+IF(N317="",0,N317)+IF(O317="",0,O317)+IF(P317="",0,P317)+IF(Q317="",0,Q317)+IF(R317="",0,R317),1))</f>
        <v/>
      </c>
      <c r="AD317">
        <f>IF(A317="","",A317&amp;"-"&amp;TEXT(C317,"yyyymmdd"))</f>
        <v/>
      </c>
    </row>
    <row r="318">
      <c r="B318">
        <f>IFERROR(INDEX(TablaDeportistas[primerApellido],MATCH(A318,TablaDeportistas[ID_Deportista],0))&amp;" "&amp;INDEX(TablaDeportistas[nombres],MATCH(A318,TablaDeportistas[ID_Deportista],0)),"")</f>
        <v/>
      </c>
      <c r="Z318">
        <f>IF(OR(I318="",J318=""),"",ROUND(I318/((J318/100)^2),2))</f>
        <v/>
      </c>
      <c r="AA318">
        <f>IF(I318="","",ROUND(IF(K318="",0,K318)+IF(L318="",0,L318)+IF(O318="",0,O318)+IF(P318="",0,P318)+IF(Q318="",0,Q318)+IF(R318="",0,R318),1))</f>
        <v/>
      </c>
      <c r="AB318">
        <f>IF(I318="","",ROUND(IF(K318="",0,K318)+IF(L318="",0,L318)+IF(M318="",0,M318)+IF(N318="",0,N318)+IF(O318="",0,O318)+IF(P318="",0,P318)+IF(Q318="",0,Q318)+IF(R318="",0,R318),1))</f>
        <v/>
      </c>
      <c r="AD318">
        <f>IF(A318="","",A318&amp;"-"&amp;TEXT(C318,"yyyymmdd"))</f>
        <v/>
      </c>
    </row>
    <row r="319">
      <c r="B319">
        <f>IFERROR(INDEX(TablaDeportistas[primerApellido],MATCH(A319,TablaDeportistas[ID_Deportista],0))&amp;" "&amp;INDEX(TablaDeportistas[nombres],MATCH(A319,TablaDeportistas[ID_Deportista],0)),"")</f>
        <v/>
      </c>
      <c r="Z319">
        <f>IF(OR(I319="",J319=""),"",ROUND(I319/((J319/100)^2),2))</f>
        <v/>
      </c>
      <c r="AA319">
        <f>IF(I319="","",ROUND(IF(K319="",0,K319)+IF(L319="",0,L319)+IF(O319="",0,O319)+IF(P319="",0,P319)+IF(Q319="",0,Q319)+IF(R319="",0,R319),1))</f>
        <v/>
      </c>
      <c r="AB319">
        <f>IF(I319="","",ROUND(IF(K319="",0,K319)+IF(L319="",0,L319)+IF(M319="",0,M319)+IF(N319="",0,N319)+IF(O319="",0,O319)+IF(P319="",0,P319)+IF(Q319="",0,Q319)+IF(R319="",0,R319),1))</f>
        <v/>
      </c>
      <c r="AD319">
        <f>IF(A319="","",A319&amp;"-"&amp;TEXT(C319,"yyyymmdd"))</f>
        <v/>
      </c>
    </row>
    <row r="320">
      <c r="B320">
        <f>IFERROR(INDEX(TablaDeportistas[primerApellido],MATCH(A320,TablaDeportistas[ID_Deportista],0))&amp;" "&amp;INDEX(TablaDeportistas[nombres],MATCH(A320,TablaDeportistas[ID_Deportista],0)),"")</f>
        <v/>
      </c>
      <c r="Z320">
        <f>IF(OR(I320="",J320=""),"",ROUND(I320/((J320/100)^2),2))</f>
        <v/>
      </c>
      <c r="AA320">
        <f>IF(I320="","",ROUND(IF(K320="",0,K320)+IF(L320="",0,L320)+IF(O320="",0,O320)+IF(P320="",0,P320)+IF(Q320="",0,Q320)+IF(R320="",0,R320),1))</f>
        <v/>
      </c>
      <c r="AB320">
        <f>IF(I320="","",ROUND(IF(K320="",0,K320)+IF(L320="",0,L320)+IF(M320="",0,M320)+IF(N320="",0,N320)+IF(O320="",0,O320)+IF(P320="",0,P320)+IF(Q320="",0,Q320)+IF(R320="",0,R320),1))</f>
        <v/>
      </c>
      <c r="AD320">
        <f>IF(A320="","",A320&amp;"-"&amp;TEXT(C320,"yyyymmdd"))</f>
        <v/>
      </c>
    </row>
    <row r="321">
      <c r="B321">
        <f>IFERROR(INDEX(TablaDeportistas[primerApellido],MATCH(A321,TablaDeportistas[ID_Deportista],0))&amp;" "&amp;INDEX(TablaDeportistas[nombres],MATCH(A321,TablaDeportistas[ID_Deportista],0)),"")</f>
        <v/>
      </c>
      <c r="Z321">
        <f>IF(OR(I321="",J321=""),"",ROUND(I321/((J321/100)^2),2))</f>
        <v/>
      </c>
      <c r="AA321">
        <f>IF(I321="","",ROUND(IF(K321="",0,K321)+IF(L321="",0,L321)+IF(O321="",0,O321)+IF(P321="",0,P321)+IF(Q321="",0,Q321)+IF(R321="",0,R321),1))</f>
        <v/>
      </c>
      <c r="AB321">
        <f>IF(I321="","",ROUND(IF(K321="",0,K321)+IF(L321="",0,L321)+IF(M321="",0,M321)+IF(N321="",0,N321)+IF(O321="",0,O321)+IF(P321="",0,P321)+IF(Q321="",0,Q321)+IF(R321="",0,R321),1))</f>
        <v/>
      </c>
      <c r="AD321">
        <f>IF(A321="","",A321&amp;"-"&amp;TEXT(C321,"yyyymmdd"))</f>
        <v/>
      </c>
    </row>
    <row r="322">
      <c r="B322">
        <f>IFERROR(INDEX(TablaDeportistas[primerApellido],MATCH(A322,TablaDeportistas[ID_Deportista],0))&amp;" "&amp;INDEX(TablaDeportistas[nombres],MATCH(A322,TablaDeportistas[ID_Deportista],0)),"")</f>
        <v/>
      </c>
      <c r="Z322">
        <f>IF(OR(I322="",J322=""),"",ROUND(I322/((J322/100)^2),2))</f>
        <v/>
      </c>
      <c r="AA322">
        <f>IF(I322="","",ROUND(IF(K322="",0,K322)+IF(L322="",0,L322)+IF(O322="",0,O322)+IF(P322="",0,P322)+IF(Q322="",0,Q322)+IF(R322="",0,R322),1))</f>
        <v/>
      </c>
      <c r="AB322">
        <f>IF(I322="","",ROUND(IF(K322="",0,K322)+IF(L322="",0,L322)+IF(M322="",0,M322)+IF(N322="",0,N322)+IF(O322="",0,O322)+IF(P322="",0,P322)+IF(Q322="",0,Q322)+IF(R322="",0,R322),1))</f>
        <v/>
      </c>
      <c r="AD322">
        <f>IF(A322="","",A322&amp;"-"&amp;TEXT(C322,"yyyymmdd"))</f>
        <v/>
      </c>
    </row>
    <row r="323">
      <c r="B323">
        <f>IFERROR(INDEX(TablaDeportistas[primerApellido],MATCH(A323,TablaDeportistas[ID_Deportista],0))&amp;" "&amp;INDEX(TablaDeportistas[nombres],MATCH(A323,TablaDeportistas[ID_Deportista],0)),"")</f>
        <v/>
      </c>
      <c r="Z323">
        <f>IF(OR(I323="",J323=""),"",ROUND(I323/((J323/100)^2),2))</f>
        <v/>
      </c>
      <c r="AA323">
        <f>IF(I323="","",ROUND(IF(K323="",0,K323)+IF(L323="",0,L323)+IF(O323="",0,O323)+IF(P323="",0,P323)+IF(Q323="",0,Q323)+IF(R323="",0,R323),1))</f>
        <v/>
      </c>
      <c r="AB323">
        <f>IF(I323="","",ROUND(IF(K323="",0,K323)+IF(L323="",0,L323)+IF(M323="",0,M323)+IF(N323="",0,N323)+IF(O323="",0,O323)+IF(P323="",0,P323)+IF(Q323="",0,Q323)+IF(R323="",0,R323),1))</f>
        <v/>
      </c>
      <c r="AD323">
        <f>IF(A323="","",A323&amp;"-"&amp;TEXT(C323,"yyyymmdd"))</f>
        <v/>
      </c>
    </row>
    <row r="324">
      <c r="B324">
        <f>IFERROR(INDEX(TablaDeportistas[primerApellido],MATCH(A324,TablaDeportistas[ID_Deportista],0))&amp;" "&amp;INDEX(TablaDeportistas[nombres],MATCH(A324,TablaDeportistas[ID_Deportista],0)),"")</f>
        <v/>
      </c>
      <c r="Z324">
        <f>IF(OR(I324="",J324=""),"",ROUND(I324/((J324/100)^2),2))</f>
        <v/>
      </c>
      <c r="AA324">
        <f>IF(I324="","",ROUND(IF(K324="",0,K324)+IF(L324="",0,L324)+IF(O324="",0,O324)+IF(P324="",0,P324)+IF(Q324="",0,Q324)+IF(R324="",0,R324),1))</f>
        <v/>
      </c>
      <c r="AB324">
        <f>IF(I324="","",ROUND(IF(K324="",0,K324)+IF(L324="",0,L324)+IF(M324="",0,M324)+IF(N324="",0,N324)+IF(O324="",0,O324)+IF(P324="",0,P324)+IF(Q324="",0,Q324)+IF(R324="",0,R324),1))</f>
        <v/>
      </c>
      <c r="AD324">
        <f>IF(A324="","",A324&amp;"-"&amp;TEXT(C324,"yyyymmdd"))</f>
        <v/>
      </c>
    </row>
    <row r="325">
      <c r="B325">
        <f>IFERROR(INDEX(TablaDeportistas[primerApellido],MATCH(A325,TablaDeportistas[ID_Deportista],0))&amp;" "&amp;INDEX(TablaDeportistas[nombres],MATCH(A325,TablaDeportistas[ID_Deportista],0)),"")</f>
        <v/>
      </c>
      <c r="Z325">
        <f>IF(OR(I325="",J325=""),"",ROUND(I325/((J325/100)^2),2))</f>
        <v/>
      </c>
      <c r="AA325">
        <f>IF(I325="","",ROUND(IF(K325="",0,K325)+IF(L325="",0,L325)+IF(O325="",0,O325)+IF(P325="",0,P325)+IF(Q325="",0,Q325)+IF(R325="",0,R325),1))</f>
        <v/>
      </c>
      <c r="AB325">
        <f>IF(I325="","",ROUND(IF(K325="",0,K325)+IF(L325="",0,L325)+IF(M325="",0,M325)+IF(N325="",0,N325)+IF(O325="",0,O325)+IF(P325="",0,P325)+IF(Q325="",0,Q325)+IF(R325="",0,R325),1))</f>
        <v/>
      </c>
      <c r="AD325">
        <f>IF(A325="","",A325&amp;"-"&amp;TEXT(C325,"yyyymmdd"))</f>
        <v/>
      </c>
    </row>
    <row r="326">
      <c r="B326">
        <f>IFERROR(INDEX(TablaDeportistas[primerApellido],MATCH(A326,TablaDeportistas[ID_Deportista],0))&amp;" "&amp;INDEX(TablaDeportistas[nombres],MATCH(A326,TablaDeportistas[ID_Deportista],0)),"")</f>
        <v/>
      </c>
      <c r="Z326">
        <f>IF(OR(I326="",J326=""),"",ROUND(I326/((J326/100)^2),2))</f>
        <v/>
      </c>
      <c r="AA326">
        <f>IF(I326="","",ROUND(IF(K326="",0,K326)+IF(L326="",0,L326)+IF(O326="",0,O326)+IF(P326="",0,P326)+IF(Q326="",0,Q326)+IF(R326="",0,R326),1))</f>
        <v/>
      </c>
      <c r="AB326">
        <f>IF(I326="","",ROUND(IF(K326="",0,K326)+IF(L326="",0,L326)+IF(M326="",0,M326)+IF(N326="",0,N326)+IF(O326="",0,O326)+IF(P326="",0,P326)+IF(Q326="",0,Q326)+IF(R326="",0,R326),1))</f>
        <v/>
      </c>
      <c r="AD326">
        <f>IF(A326="","",A326&amp;"-"&amp;TEXT(C326,"yyyymmdd"))</f>
        <v/>
      </c>
    </row>
    <row r="327">
      <c r="B327">
        <f>IFERROR(INDEX(TablaDeportistas[primerApellido],MATCH(A327,TablaDeportistas[ID_Deportista],0))&amp;" "&amp;INDEX(TablaDeportistas[nombres],MATCH(A327,TablaDeportistas[ID_Deportista],0)),"")</f>
        <v/>
      </c>
      <c r="Z327">
        <f>IF(OR(I327="",J327=""),"",ROUND(I327/((J327/100)^2),2))</f>
        <v/>
      </c>
      <c r="AA327">
        <f>IF(I327="","",ROUND(IF(K327="",0,K327)+IF(L327="",0,L327)+IF(O327="",0,O327)+IF(P327="",0,P327)+IF(Q327="",0,Q327)+IF(R327="",0,R327),1))</f>
        <v/>
      </c>
      <c r="AB327">
        <f>IF(I327="","",ROUND(IF(K327="",0,K327)+IF(L327="",0,L327)+IF(M327="",0,M327)+IF(N327="",0,N327)+IF(O327="",0,O327)+IF(P327="",0,P327)+IF(Q327="",0,Q327)+IF(R327="",0,R327),1))</f>
        <v/>
      </c>
      <c r="AD327">
        <f>IF(A327="","",A327&amp;"-"&amp;TEXT(C327,"yyyymmdd"))</f>
        <v/>
      </c>
    </row>
    <row r="328">
      <c r="B328">
        <f>IFERROR(INDEX(TablaDeportistas[primerApellido],MATCH(A328,TablaDeportistas[ID_Deportista],0))&amp;" "&amp;INDEX(TablaDeportistas[nombres],MATCH(A328,TablaDeportistas[ID_Deportista],0)),"")</f>
        <v/>
      </c>
      <c r="Z328">
        <f>IF(OR(I328="",J328=""),"",ROUND(I328/((J328/100)^2),2))</f>
        <v/>
      </c>
      <c r="AA328">
        <f>IF(I328="","",ROUND(IF(K328="",0,K328)+IF(L328="",0,L328)+IF(O328="",0,O328)+IF(P328="",0,P328)+IF(Q328="",0,Q328)+IF(R328="",0,R328),1))</f>
        <v/>
      </c>
      <c r="AB328">
        <f>IF(I328="","",ROUND(IF(K328="",0,K328)+IF(L328="",0,L328)+IF(M328="",0,M328)+IF(N328="",0,N328)+IF(O328="",0,O328)+IF(P328="",0,P328)+IF(Q328="",0,Q328)+IF(R328="",0,R328),1))</f>
        <v/>
      </c>
      <c r="AD328">
        <f>IF(A328="","",A328&amp;"-"&amp;TEXT(C328,"yyyymmdd"))</f>
        <v/>
      </c>
    </row>
    <row r="329">
      <c r="B329">
        <f>IFERROR(INDEX(TablaDeportistas[primerApellido],MATCH(A329,TablaDeportistas[ID_Deportista],0))&amp;" "&amp;INDEX(TablaDeportistas[nombres],MATCH(A329,TablaDeportistas[ID_Deportista],0)),"")</f>
        <v/>
      </c>
      <c r="Z329">
        <f>IF(OR(I329="",J329=""),"",ROUND(I329/((J329/100)^2),2))</f>
        <v/>
      </c>
      <c r="AA329">
        <f>IF(I329="","",ROUND(IF(K329="",0,K329)+IF(L329="",0,L329)+IF(O329="",0,O329)+IF(P329="",0,P329)+IF(Q329="",0,Q329)+IF(R329="",0,R329),1))</f>
        <v/>
      </c>
      <c r="AB329">
        <f>IF(I329="","",ROUND(IF(K329="",0,K329)+IF(L329="",0,L329)+IF(M329="",0,M329)+IF(N329="",0,N329)+IF(O329="",0,O329)+IF(P329="",0,P329)+IF(Q329="",0,Q329)+IF(R329="",0,R329),1))</f>
        <v/>
      </c>
      <c r="AD329">
        <f>IF(A329="","",A329&amp;"-"&amp;TEXT(C329,"yyyymmdd"))</f>
        <v/>
      </c>
    </row>
    <row r="330">
      <c r="B330">
        <f>IFERROR(INDEX(TablaDeportistas[primerApellido],MATCH(A330,TablaDeportistas[ID_Deportista],0))&amp;" "&amp;INDEX(TablaDeportistas[nombres],MATCH(A330,TablaDeportistas[ID_Deportista],0)),"")</f>
        <v/>
      </c>
      <c r="Z330">
        <f>IF(OR(I330="",J330=""),"",ROUND(I330/((J330/100)^2),2))</f>
        <v/>
      </c>
      <c r="AA330">
        <f>IF(I330="","",ROUND(IF(K330="",0,K330)+IF(L330="",0,L330)+IF(O330="",0,O330)+IF(P330="",0,P330)+IF(Q330="",0,Q330)+IF(R330="",0,R330),1))</f>
        <v/>
      </c>
      <c r="AB330">
        <f>IF(I330="","",ROUND(IF(K330="",0,K330)+IF(L330="",0,L330)+IF(M330="",0,M330)+IF(N330="",0,N330)+IF(O330="",0,O330)+IF(P330="",0,P330)+IF(Q330="",0,Q330)+IF(R330="",0,R330),1))</f>
        <v/>
      </c>
      <c r="AD330">
        <f>IF(A330="","",A330&amp;"-"&amp;TEXT(C330,"yyyymmdd"))</f>
        <v/>
      </c>
    </row>
    <row r="331">
      <c r="B331">
        <f>IFERROR(INDEX(TablaDeportistas[primerApellido],MATCH(A331,TablaDeportistas[ID_Deportista],0))&amp;" "&amp;INDEX(TablaDeportistas[nombres],MATCH(A331,TablaDeportistas[ID_Deportista],0)),"")</f>
        <v/>
      </c>
      <c r="Z331">
        <f>IF(OR(I331="",J331=""),"",ROUND(I331/((J331/100)^2),2))</f>
        <v/>
      </c>
      <c r="AA331">
        <f>IF(I331="","",ROUND(IF(K331="",0,K331)+IF(L331="",0,L331)+IF(O331="",0,O331)+IF(P331="",0,P331)+IF(Q331="",0,Q331)+IF(R331="",0,R331),1))</f>
        <v/>
      </c>
      <c r="AB331">
        <f>IF(I331="","",ROUND(IF(K331="",0,K331)+IF(L331="",0,L331)+IF(M331="",0,M331)+IF(N331="",0,N331)+IF(O331="",0,O331)+IF(P331="",0,P331)+IF(Q331="",0,Q331)+IF(R331="",0,R331),1))</f>
        <v/>
      </c>
      <c r="AD331">
        <f>IF(A331="","",A331&amp;"-"&amp;TEXT(C331,"yyyymmdd"))</f>
        <v/>
      </c>
    </row>
    <row r="332">
      <c r="B332">
        <f>IFERROR(INDEX(TablaDeportistas[primerApellido],MATCH(A332,TablaDeportistas[ID_Deportista],0))&amp;" "&amp;INDEX(TablaDeportistas[nombres],MATCH(A332,TablaDeportistas[ID_Deportista],0)),"")</f>
        <v/>
      </c>
      <c r="Z332">
        <f>IF(OR(I332="",J332=""),"",ROUND(I332/((J332/100)^2),2))</f>
        <v/>
      </c>
      <c r="AA332">
        <f>IF(I332="","",ROUND(IF(K332="",0,K332)+IF(L332="",0,L332)+IF(O332="",0,O332)+IF(P332="",0,P332)+IF(Q332="",0,Q332)+IF(R332="",0,R332),1))</f>
        <v/>
      </c>
      <c r="AB332">
        <f>IF(I332="","",ROUND(IF(K332="",0,K332)+IF(L332="",0,L332)+IF(M332="",0,M332)+IF(N332="",0,N332)+IF(O332="",0,O332)+IF(P332="",0,P332)+IF(Q332="",0,Q332)+IF(R332="",0,R332),1))</f>
        <v/>
      </c>
      <c r="AD332">
        <f>IF(A332="","",A332&amp;"-"&amp;TEXT(C332,"yyyymmdd"))</f>
        <v/>
      </c>
    </row>
    <row r="333">
      <c r="B333">
        <f>IFERROR(INDEX(TablaDeportistas[primerApellido],MATCH(A333,TablaDeportistas[ID_Deportista],0))&amp;" "&amp;INDEX(TablaDeportistas[nombres],MATCH(A333,TablaDeportistas[ID_Deportista],0)),"")</f>
        <v/>
      </c>
      <c r="Z333">
        <f>IF(OR(I333="",J333=""),"",ROUND(I333/((J333/100)^2),2))</f>
        <v/>
      </c>
      <c r="AA333">
        <f>IF(I333="","",ROUND(IF(K333="",0,K333)+IF(L333="",0,L333)+IF(O333="",0,O333)+IF(P333="",0,P333)+IF(Q333="",0,Q333)+IF(R333="",0,R333),1))</f>
        <v/>
      </c>
      <c r="AB333">
        <f>IF(I333="","",ROUND(IF(K333="",0,K333)+IF(L333="",0,L333)+IF(M333="",0,M333)+IF(N333="",0,N333)+IF(O333="",0,O333)+IF(P333="",0,P333)+IF(Q333="",0,Q333)+IF(R333="",0,R333),1))</f>
        <v/>
      </c>
      <c r="AD333">
        <f>IF(A333="","",A333&amp;"-"&amp;TEXT(C333,"yyyymmdd"))</f>
        <v/>
      </c>
    </row>
    <row r="334">
      <c r="B334">
        <f>IFERROR(INDEX(TablaDeportistas[primerApellido],MATCH(A334,TablaDeportistas[ID_Deportista],0))&amp;" "&amp;INDEX(TablaDeportistas[nombres],MATCH(A334,TablaDeportistas[ID_Deportista],0)),"")</f>
        <v/>
      </c>
      <c r="Z334">
        <f>IF(OR(I334="",J334=""),"",ROUND(I334/((J334/100)^2),2))</f>
        <v/>
      </c>
      <c r="AA334">
        <f>IF(I334="","",ROUND(IF(K334="",0,K334)+IF(L334="",0,L334)+IF(O334="",0,O334)+IF(P334="",0,P334)+IF(Q334="",0,Q334)+IF(R334="",0,R334),1))</f>
        <v/>
      </c>
      <c r="AB334">
        <f>IF(I334="","",ROUND(IF(K334="",0,K334)+IF(L334="",0,L334)+IF(M334="",0,M334)+IF(N334="",0,N334)+IF(O334="",0,O334)+IF(P334="",0,P334)+IF(Q334="",0,Q334)+IF(R334="",0,R334),1))</f>
        <v/>
      </c>
      <c r="AD334">
        <f>IF(A334="","",A334&amp;"-"&amp;TEXT(C334,"yyyymmdd"))</f>
        <v/>
      </c>
    </row>
    <row r="335">
      <c r="B335">
        <f>IFERROR(INDEX(TablaDeportistas[primerApellido],MATCH(A335,TablaDeportistas[ID_Deportista],0))&amp;" "&amp;INDEX(TablaDeportistas[nombres],MATCH(A335,TablaDeportistas[ID_Deportista],0)),"")</f>
        <v/>
      </c>
      <c r="Z335">
        <f>IF(OR(I335="",J335=""),"",ROUND(I335/((J335/100)^2),2))</f>
        <v/>
      </c>
      <c r="AA335">
        <f>IF(I335="","",ROUND(IF(K335="",0,K335)+IF(L335="",0,L335)+IF(O335="",0,O335)+IF(P335="",0,P335)+IF(Q335="",0,Q335)+IF(R335="",0,R335),1))</f>
        <v/>
      </c>
      <c r="AB335">
        <f>IF(I335="","",ROUND(IF(K335="",0,K335)+IF(L335="",0,L335)+IF(M335="",0,M335)+IF(N335="",0,N335)+IF(O335="",0,O335)+IF(P335="",0,P335)+IF(Q335="",0,Q335)+IF(R335="",0,R335),1))</f>
        <v/>
      </c>
      <c r="AD335">
        <f>IF(A335="","",A335&amp;"-"&amp;TEXT(C335,"yyyymmdd"))</f>
        <v/>
      </c>
    </row>
    <row r="336">
      <c r="B336">
        <f>IFERROR(INDEX(TablaDeportistas[primerApellido],MATCH(A336,TablaDeportistas[ID_Deportista],0))&amp;" "&amp;INDEX(TablaDeportistas[nombres],MATCH(A336,TablaDeportistas[ID_Deportista],0)),"")</f>
        <v/>
      </c>
      <c r="Z336">
        <f>IF(OR(I336="",J336=""),"",ROUND(I336/((J336/100)^2),2))</f>
        <v/>
      </c>
      <c r="AA336">
        <f>IF(I336="","",ROUND(IF(K336="",0,K336)+IF(L336="",0,L336)+IF(O336="",0,O336)+IF(P336="",0,P336)+IF(Q336="",0,Q336)+IF(R336="",0,R336),1))</f>
        <v/>
      </c>
      <c r="AB336">
        <f>IF(I336="","",ROUND(IF(K336="",0,K336)+IF(L336="",0,L336)+IF(M336="",0,M336)+IF(N336="",0,N336)+IF(O336="",0,O336)+IF(P336="",0,P336)+IF(Q336="",0,Q336)+IF(R336="",0,R336),1))</f>
        <v/>
      </c>
      <c r="AD336">
        <f>IF(A336="","",A336&amp;"-"&amp;TEXT(C336,"yyyymmdd"))</f>
        <v/>
      </c>
    </row>
    <row r="337">
      <c r="B337">
        <f>IFERROR(INDEX(TablaDeportistas[primerApellido],MATCH(A337,TablaDeportistas[ID_Deportista],0))&amp;" "&amp;INDEX(TablaDeportistas[nombres],MATCH(A337,TablaDeportistas[ID_Deportista],0)),"")</f>
        <v/>
      </c>
      <c r="Z337">
        <f>IF(OR(I337="",J337=""),"",ROUND(I337/((J337/100)^2),2))</f>
        <v/>
      </c>
      <c r="AA337">
        <f>IF(I337="","",ROUND(IF(K337="",0,K337)+IF(L337="",0,L337)+IF(O337="",0,O337)+IF(P337="",0,P337)+IF(Q337="",0,Q337)+IF(R337="",0,R337),1))</f>
        <v/>
      </c>
      <c r="AB337">
        <f>IF(I337="","",ROUND(IF(K337="",0,K337)+IF(L337="",0,L337)+IF(M337="",0,M337)+IF(N337="",0,N337)+IF(O337="",0,O337)+IF(P337="",0,P337)+IF(Q337="",0,Q337)+IF(R337="",0,R337),1))</f>
        <v/>
      </c>
      <c r="AD337">
        <f>IF(A337="","",A337&amp;"-"&amp;TEXT(C337,"yyyymmdd"))</f>
        <v/>
      </c>
    </row>
    <row r="338">
      <c r="B338">
        <f>IFERROR(INDEX(TablaDeportistas[primerApellido],MATCH(A338,TablaDeportistas[ID_Deportista],0))&amp;" "&amp;INDEX(TablaDeportistas[nombres],MATCH(A338,TablaDeportistas[ID_Deportista],0)),"")</f>
        <v/>
      </c>
      <c r="Z338">
        <f>IF(OR(I338="",J338=""),"",ROUND(I338/((J338/100)^2),2))</f>
        <v/>
      </c>
      <c r="AA338">
        <f>IF(I338="","",ROUND(IF(K338="",0,K338)+IF(L338="",0,L338)+IF(O338="",0,O338)+IF(P338="",0,P338)+IF(Q338="",0,Q338)+IF(R338="",0,R338),1))</f>
        <v/>
      </c>
      <c r="AB338">
        <f>IF(I338="","",ROUND(IF(K338="",0,K338)+IF(L338="",0,L338)+IF(M338="",0,M338)+IF(N338="",0,N338)+IF(O338="",0,O338)+IF(P338="",0,P338)+IF(Q338="",0,Q338)+IF(R338="",0,R338),1))</f>
        <v/>
      </c>
      <c r="AD338">
        <f>IF(A338="","",A338&amp;"-"&amp;TEXT(C338,"yyyymmdd"))</f>
        <v/>
      </c>
    </row>
    <row r="339">
      <c r="B339">
        <f>IFERROR(INDEX(TablaDeportistas[primerApellido],MATCH(A339,TablaDeportistas[ID_Deportista],0))&amp;" "&amp;INDEX(TablaDeportistas[nombres],MATCH(A339,TablaDeportistas[ID_Deportista],0)),"")</f>
        <v/>
      </c>
      <c r="Z339">
        <f>IF(OR(I339="",J339=""),"",ROUND(I339/((J339/100)^2),2))</f>
        <v/>
      </c>
      <c r="AA339">
        <f>IF(I339="","",ROUND(IF(K339="",0,K339)+IF(L339="",0,L339)+IF(O339="",0,O339)+IF(P339="",0,P339)+IF(Q339="",0,Q339)+IF(R339="",0,R339),1))</f>
        <v/>
      </c>
      <c r="AB339">
        <f>IF(I339="","",ROUND(IF(K339="",0,K339)+IF(L339="",0,L339)+IF(M339="",0,M339)+IF(N339="",0,N339)+IF(O339="",0,O339)+IF(P339="",0,P339)+IF(Q339="",0,Q339)+IF(R339="",0,R339),1))</f>
        <v/>
      </c>
      <c r="AD339">
        <f>IF(A339="","",A339&amp;"-"&amp;TEXT(C339,"yyyymmdd"))</f>
        <v/>
      </c>
    </row>
    <row r="340">
      <c r="B340">
        <f>IFERROR(INDEX(TablaDeportistas[primerApellido],MATCH(A340,TablaDeportistas[ID_Deportista],0))&amp;" "&amp;INDEX(TablaDeportistas[nombres],MATCH(A340,TablaDeportistas[ID_Deportista],0)),"")</f>
        <v/>
      </c>
      <c r="Z340">
        <f>IF(OR(I340="",J340=""),"",ROUND(I340/((J340/100)^2),2))</f>
        <v/>
      </c>
      <c r="AA340">
        <f>IF(I340="","",ROUND(IF(K340="",0,K340)+IF(L340="",0,L340)+IF(O340="",0,O340)+IF(P340="",0,P340)+IF(Q340="",0,Q340)+IF(R340="",0,R340),1))</f>
        <v/>
      </c>
      <c r="AB340">
        <f>IF(I340="","",ROUND(IF(K340="",0,K340)+IF(L340="",0,L340)+IF(M340="",0,M340)+IF(N340="",0,N340)+IF(O340="",0,O340)+IF(P340="",0,P340)+IF(Q340="",0,Q340)+IF(R340="",0,R340),1))</f>
        <v/>
      </c>
      <c r="AD340">
        <f>IF(A340="","",A340&amp;"-"&amp;TEXT(C340,"yyyymmdd"))</f>
        <v/>
      </c>
    </row>
    <row r="341">
      <c r="B341">
        <f>IFERROR(INDEX(TablaDeportistas[primerApellido],MATCH(A341,TablaDeportistas[ID_Deportista],0))&amp;" "&amp;INDEX(TablaDeportistas[nombres],MATCH(A341,TablaDeportistas[ID_Deportista],0)),"")</f>
        <v/>
      </c>
      <c r="Z341">
        <f>IF(OR(I341="",J341=""),"",ROUND(I341/((J341/100)^2),2))</f>
        <v/>
      </c>
      <c r="AA341">
        <f>IF(I341="","",ROUND(IF(K341="",0,K341)+IF(L341="",0,L341)+IF(O341="",0,O341)+IF(P341="",0,P341)+IF(Q341="",0,Q341)+IF(R341="",0,R341),1))</f>
        <v/>
      </c>
      <c r="AB341">
        <f>IF(I341="","",ROUND(IF(K341="",0,K341)+IF(L341="",0,L341)+IF(M341="",0,M341)+IF(N341="",0,N341)+IF(O341="",0,O341)+IF(P341="",0,P341)+IF(Q341="",0,Q341)+IF(R341="",0,R341),1))</f>
        <v/>
      </c>
      <c r="AD341">
        <f>IF(A341="","",A341&amp;"-"&amp;TEXT(C341,"yyyymmdd"))</f>
        <v/>
      </c>
    </row>
    <row r="342">
      <c r="B342">
        <f>IFERROR(INDEX(TablaDeportistas[primerApellido],MATCH(A342,TablaDeportistas[ID_Deportista],0))&amp;" "&amp;INDEX(TablaDeportistas[nombres],MATCH(A342,TablaDeportistas[ID_Deportista],0)),"")</f>
        <v/>
      </c>
      <c r="Z342">
        <f>IF(OR(I342="",J342=""),"",ROUND(I342/((J342/100)^2),2))</f>
        <v/>
      </c>
      <c r="AA342">
        <f>IF(I342="","",ROUND(IF(K342="",0,K342)+IF(L342="",0,L342)+IF(O342="",0,O342)+IF(P342="",0,P342)+IF(Q342="",0,Q342)+IF(R342="",0,R342),1))</f>
        <v/>
      </c>
      <c r="AB342">
        <f>IF(I342="","",ROUND(IF(K342="",0,K342)+IF(L342="",0,L342)+IF(M342="",0,M342)+IF(N342="",0,N342)+IF(O342="",0,O342)+IF(P342="",0,P342)+IF(Q342="",0,Q342)+IF(R342="",0,R342),1))</f>
        <v/>
      </c>
      <c r="AD342">
        <f>IF(A342="","",A342&amp;"-"&amp;TEXT(C342,"yyyymmdd"))</f>
        <v/>
      </c>
    </row>
    <row r="343">
      <c r="B343">
        <f>IFERROR(INDEX(TablaDeportistas[primerApellido],MATCH(A343,TablaDeportistas[ID_Deportista],0))&amp;" "&amp;INDEX(TablaDeportistas[nombres],MATCH(A343,TablaDeportistas[ID_Deportista],0)),"")</f>
        <v/>
      </c>
      <c r="Z343">
        <f>IF(OR(I343="",J343=""),"",ROUND(I343/((J343/100)^2),2))</f>
        <v/>
      </c>
      <c r="AA343">
        <f>IF(I343="","",ROUND(IF(K343="",0,K343)+IF(L343="",0,L343)+IF(O343="",0,O343)+IF(P343="",0,P343)+IF(Q343="",0,Q343)+IF(R343="",0,R343),1))</f>
        <v/>
      </c>
      <c r="AB343">
        <f>IF(I343="","",ROUND(IF(K343="",0,K343)+IF(L343="",0,L343)+IF(M343="",0,M343)+IF(N343="",0,N343)+IF(O343="",0,O343)+IF(P343="",0,P343)+IF(Q343="",0,Q343)+IF(R343="",0,R343),1))</f>
        <v/>
      </c>
      <c r="AD343">
        <f>IF(A343="","",A343&amp;"-"&amp;TEXT(C343,"yyyymmdd"))</f>
        <v/>
      </c>
    </row>
    <row r="344">
      <c r="B344">
        <f>IFERROR(INDEX(TablaDeportistas[primerApellido],MATCH(A344,TablaDeportistas[ID_Deportista],0))&amp;" "&amp;INDEX(TablaDeportistas[nombres],MATCH(A344,TablaDeportistas[ID_Deportista],0)),"")</f>
        <v/>
      </c>
      <c r="Z344">
        <f>IF(OR(I344="",J344=""),"",ROUND(I344/((J344/100)^2),2))</f>
        <v/>
      </c>
      <c r="AA344">
        <f>IF(I344="","",ROUND(IF(K344="",0,K344)+IF(L344="",0,L344)+IF(O344="",0,O344)+IF(P344="",0,P344)+IF(Q344="",0,Q344)+IF(R344="",0,R344),1))</f>
        <v/>
      </c>
      <c r="AB344">
        <f>IF(I344="","",ROUND(IF(K344="",0,K344)+IF(L344="",0,L344)+IF(M344="",0,M344)+IF(N344="",0,N344)+IF(O344="",0,O344)+IF(P344="",0,P344)+IF(Q344="",0,Q344)+IF(R344="",0,R344),1))</f>
        <v/>
      </c>
      <c r="AD344">
        <f>IF(A344="","",A344&amp;"-"&amp;TEXT(C344,"yyyymmdd"))</f>
        <v/>
      </c>
    </row>
    <row r="345">
      <c r="B345">
        <f>IFERROR(INDEX(TablaDeportistas[primerApellido],MATCH(A345,TablaDeportistas[ID_Deportista],0))&amp;" "&amp;INDEX(TablaDeportistas[nombres],MATCH(A345,TablaDeportistas[ID_Deportista],0)),"")</f>
        <v/>
      </c>
      <c r="Z345">
        <f>IF(OR(I345="",J345=""),"",ROUND(I345/((J345/100)^2),2))</f>
        <v/>
      </c>
      <c r="AA345">
        <f>IF(I345="","",ROUND(IF(K345="",0,K345)+IF(L345="",0,L345)+IF(O345="",0,O345)+IF(P345="",0,P345)+IF(Q345="",0,Q345)+IF(R345="",0,R345),1))</f>
        <v/>
      </c>
      <c r="AB345">
        <f>IF(I345="","",ROUND(IF(K345="",0,K345)+IF(L345="",0,L345)+IF(M345="",0,M345)+IF(N345="",0,N345)+IF(O345="",0,O345)+IF(P345="",0,P345)+IF(Q345="",0,Q345)+IF(R345="",0,R345),1))</f>
        <v/>
      </c>
      <c r="AD345">
        <f>IF(A345="","",A345&amp;"-"&amp;TEXT(C345,"yyyymmdd"))</f>
        <v/>
      </c>
    </row>
    <row r="346">
      <c r="B346">
        <f>IFERROR(INDEX(TablaDeportistas[primerApellido],MATCH(A346,TablaDeportistas[ID_Deportista],0))&amp;" "&amp;INDEX(TablaDeportistas[nombres],MATCH(A346,TablaDeportistas[ID_Deportista],0)),"")</f>
        <v/>
      </c>
      <c r="Z346">
        <f>IF(OR(I346="",J346=""),"",ROUND(I346/((J346/100)^2),2))</f>
        <v/>
      </c>
      <c r="AA346">
        <f>IF(I346="","",ROUND(IF(K346="",0,K346)+IF(L346="",0,L346)+IF(O346="",0,O346)+IF(P346="",0,P346)+IF(Q346="",0,Q346)+IF(R346="",0,R346),1))</f>
        <v/>
      </c>
      <c r="AB346">
        <f>IF(I346="","",ROUND(IF(K346="",0,K346)+IF(L346="",0,L346)+IF(M346="",0,M346)+IF(N346="",0,N346)+IF(O346="",0,O346)+IF(P346="",0,P346)+IF(Q346="",0,Q346)+IF(R346="",0,R346),1))</f>
        <v/>
      </c>
      <c r="AD346">
        <f>IF(A346="","",A346&amp;"-"&amp;TEXT(C346,"yyyymmdd"))</f>
        <v/>
      </c>
    </row>
    <row r="347">
      <c r="B347">
        <f>IFERROR(INDEX(TablaDeportistas[primerApellido],MATCH(A347,TablaDeportistas[ID_Deportista],0))&amp;" "&amp;INDEX(TablaDeportistas[nombres],MATCH(A347,TablaDeportistas[ID_Deportista],0)),"")</f>
        <v/>
      </c>
      <c r="Z347">
        <f>IF(OR(I347="",J347=""),"",ROUND(I347/((J347/100)^2),2))</f>
        <v/>
      </c>
      <c r="AA347">
        <f>IF(I347="","",ROUND(IF(K347="",0,K347)+IF(L347="",0,L347)+IF(O347="",0,O347)+IF(P347="",0,P347)+IF(Q347="",0,Q347)+IF(R347="",0,R347),1))</f>
        <v/>
      </c>
      <c r="AB347">
        <f>IF(I347="","",ROUND(IF(K347="",0,K347)+IF(L347="",0,L347)+IF(M347="",0,M347)+IF(N347="",0,N347)+IF(O347="",0,O347)+IF(P347="",0,P347)+IF(Q347="",0,Q347)+IF(R347="",0,R347),1))</f>
        <v/>
      </c>
      <c r="AD347">
        <f>IF(A347="","",A347&amp;"-"&amp;TEXT(C347,"yyyymmdd"))</f>
        <v/>
      </c>
    </row>
    <row r="348">
      <c r="B348">
        <f>IFERROR(INDEX(TablaDeportistas[primerApellido],MATCH(A348,TablaDeportistas[ID_Deportista],0))&amp;" "&amp;INDEX(TablaDeportistas[nombres],MATCH(A348,TablaDeportistas[ID_Deportista],0)),"")</f>
        <v/>
      </c>
      <c r="Z348">
        <f>IF(OR(I348="",J348=""),"",ROUND(I348/((J348/100)^2),2))</f>
        <v/>
      </c>
      <c r="AA348">
        <f>IF(I348="","",ROUND(IF(K348="",0,K348)+IF(L348="",0,L348)+IF(O348="",0,O348)+IF(P348="",0,P348)+IF(Q348="",0,Q348)+IF(R348="",0,R348),1))</f>
        <v/>
      </c>
      <c r="AB348">
        <f>IF(I348="","",ROUND(IF(K348="",0,K348)+IF(L348="",0,L348)+IF(M348="",0,M348)+IF(N348="",0,N348)+IF(O348="",0,O348)+IF(P348="",0,P348)+IF(Q348="",0,Q348)+IF(R348="",0,R348),1))</f>
        <v/>
      </c>
      <c r="AD348">
        <f>IF(A348="","",A348&amp;"-"&amp;TEXT(C348,"yyyymmdd"))</f>
        <v/>
      </c>
    </row>
    <row r="349">
      <c r="B349">
        <f>IFERROR(INDEX(TablaDeportistas[primerApellido],MATCH(A349,TablaDeportistas[ID_Deportista],0))&amp;" "&amp;INDEX(TablaDeportistas[nombres],MATCH(A349,TablaDeportistas[ID_Deportista],0)),"")</f>
        <v/>
      </c>
      <c r="Z349">
        <f>IF(OR(I349="",J349=""),"",ROUND(I349/((J349/100)^2),2))</f>
        <v/>
      </c>
      <c r="AA349">
        <f>IF(I349="","",ROUND(IF(K349="",0,K349)+IF(L349="",0,L349)+IF(O349="",0,O349)+IF(P349="",0,P349)+IF(Q349="",0,Q349)+IF(R349="",0,R349),1))</f>
        <v/>
      </c>
      <c r="AB349">
        <f>IF(I349="","",ROUND(IF(K349="",0,K349)+IF(L349="",0,L349)+IF(M349="",0,M349)+IF(N349="",0,N349)+IF(O349="",0,O349)+IF(P349="",0,P349)+IF(Q349="",0,Q349)+IF(R349="",0,R349),1))</f>
        <v/>
      </c>
      <c r="AD349">
        <f>IF(A349="","",A349&amp;"-"&amp;TEXT(C349,"yyyymmdd"))</f>
        <v/>
      </c>
    </row>
    <row r="350">
      <c r="B350">
        <f>IFERROR(INDEX(TablaDeportistas[primerApellido],MATCH(A350,TablaDeportistas[ID_Deportista],0))&amp;" "&amp;INDEX(TablaDeportistas[nombres],MATCH(A350,TablaDeportistas[ID_Deportista],0)),"")</f>
        <v/>
      </c>
      <c r="Z350">
        <f>IF(OR(I350="",J350=""),"",ROUND(I350/((J350/100)^2),2))</f>
        <v/>
      </c>
      <c r="AA350">
        <f>IF(I350="","",ROUND(IF(K350="",0,K350)+IF(L350="",0,L350)+IF(O350="",0,O350)+IF(P350="",0,P350)+IF(Q350="",0,Q350)+IF(R350="",0,R350),1))</f>
        <v/>
      </c>
      <c r="AB350">
        <f>IF(I350="","",ROUND(IF(K350="",0,K350)+IF(L350="",0,L350)+IF(M350="",0,M350)+IF(N350="",0,N350)+IF(O350="",0,O350)+IF(P350="",0,P350)+IF(Q350="",0,Q350)+IF(R350="",0,R350),1))</f>
        <v/>
      </c>
      <c r="AD350">
        <f>IF(A350="","",A350&amp;"-"&amp;TEXT(C350,"yyyymmdd"))</f>
        <v/>
      </c>
    </row>
    <row r="351">
      <c r="B351">
        <f>IFERROR(INDEX(TablaDeportistas[primerApellido],MATCH(A351,TablaDeportistas[ID_Deportista],0))&amp;" "&amp;INDEX(TablaDeportistas[nombres],MATCH(A351,TablaDeportistas[ID_Deportista],0)),"")</f>
        <v/>
      </c>
      <c r="Z351">
        <f>IF(OR(I351="",J351=""),"",ROUND(I351/((J351/100)^2),2))</f>
        <v/>
      </c>
      <c r="AA351">
        <f>IF(I351="","",ROUND(IF(K351="",0,K351)+IF(L351="",0,L351)+IF(O351="",0,O351)+IF(P351="",0,P351)+IF(Q351="",0,Q351)+IF(R351="",0,R351),1))</f>
        <v/>
      </c>
      <c r="AB351">
        <f>IF(I351="","",ROUND(IF(K351="",0,K351)+IF(L351="",0,L351)+IF(M351="",0,M351)+IF(N351="",0,N351)+IF(O351="",0,O351)+IF(P351="",0,P351)+IF(Q351="",0,Q351)+IF(R351="",0,R351),1))</f>
        <v/>
      </c>
      <c r="AD351">
        <f>IF(A351="","",A351&amp;"-"&amp;TEXT(C351,"yyyymmdd"))</f>
        <v/>
      </c>
    </row>
    <row r="352">
      <c r="B352">
        <f>IFERROR(INDEX(TablaDeportistas[primerApellido],MATCH(A352,TablaDeportistas[ID_Deportista],0))&amp;" "&amp;INDEX(TablaDeportistas[nombres],MATCH(A352,TablaDeportistas[ID_Deportista],0)),"")</f>
        <v/>
      </c>
      <c r="Z352">
        <f>IF(OR(I352="",J352=""),"",ROUND(I352/((J352/100)^2),2))</f>
        <v/>
      </c>
      <c r="AA352">
        <f>IF(I352="","",ROUND(IF(K352="",0,K352)+IF(L352="",0,L352)+IF(O352="",0,O352)+IF(P352="",0,P352)+IF(Q352="",0,Q352)+IF(R352="",0,R352),1))</f>
        <v/>
      </c>
      <c r="AB352">
        <f>IF(I352="","",ROUND(IF(K352="",0,K352)+IF(L352="",0,L352)+IF(M352="",0,M352)+IF(N352="",0,N352)+IF(O352="",0,O352)+IF(P352="",0,P352)+IF(Q352="",0,Q352)+IF(R352="",0,R352),1))</f>
        <v/>
      </c>
      <c r="AD352">
        <f>IF(A352="","",A352&amp;"-"&amp;TEXT(C352,"yyyymmdd"))</f>
        <v/>
      </c>
    </row>
    <row r="353">
      <c r="B353">
        <f>IFERROR(INDEX(TablaDeportistas[primerApellido],MATCH(A353,TablaDeportistas[ID_Deportista],0))&amp;" "&amp;INDEX(TablaDeportistas[nombres],MATCH(A353,TablaDeportistas[ID_Deportista],0)),"")</f>
        <v/>
      </c>
      <c r="Z353">
        <f>IF(OR(I353="",J353=""),"",ROUND(I353/((J353/100)^2),2))</f>
        <v/>
      </c>
      <c r="AA353">
        <f>IF(I353="","",ROUND(IF(K353="",0,K353)+IF(L353="",0,L353)+IF(O353="",0,O353)+IF(P353="",0,P353)+IF(Q353="",0,Q353)+IF(R353="",0,R353),1))</f>
        <v/>
      </c>
      <c r="AB353">
        <f>IF(I353="","",ROUND(IF(K353="",0,K353)+IF(L353="",0,L353)+IF(M353="",0,M353)+IF(N353="",0,N353)+IF(O353="",0,O353)+IF(P353="",0,P353)+IF(Q353="",0,Q353)+IF(R353="",0,R353),1))</f>
        <v/>
      </c>
      <c r="AD353">
        <f>IF(A353="","",A353&amp;"-"&amp;TEXT(C353,"yyyymmdd"))</f>
        <v/>
      </c>
    </row>
    <row r="354">
      <c r="B354">
        <f>IFERROR(INDEX(TablaDeportistas[primerApellido],MATCH(A354,TablaDeportistas[ID_Deportista],0))&amp;" "&amp;INDEX(TablaDeportistas[nombres],MATCH(A354,TablaDeportistas[ID_Deportista],0)),"")</f>
        <v/>
      </c>
      <c r="Z354">
        <f>IF(OR(I354="",J354=""),"",ROUND(I354/((J354/100)^2),2))</f>
        <v/>
      </c>
      <c r="AA354">
        <f>IF(I354="","",ROUND(IF(K354="",0,K354)+IF(L354="",0,L354)+IF(O354="",0,O354)+IF(P354="",0,P354)+IF(Q354="",0,Q354)+IF(R354="",0,R354),1))</f>
        <v/>
      </c>
      <c r="AB354">
        <f>IF(I354="","",ROUND(IF(K354="",0,K354)+IF(L354="",0,L354)+IF(M354="",0,M354)+IF(N354="",0,N354)+IF(O354="",0,O354)+IF(P354="",0,P354)+IF(Q354="",0,Q354)+IF(R354="",0,R354),1))</f>
        <v/>
      </c>
      <c r="AD354">
        <f>IF(A354="","",A354&amp;"-"&amp;TEXT(C354,"yyyymmdd"))</f>
        <v/>
      </c>
    </row>
    <row r="355">
      <c r="B355">
        <f>IFERROR(INDEX(TablaDeportistas[primerApellido],MATCH(A355,TablaDeportistas[ID_Deportista],0))&amp;" "&amp;INDEX(TablaDeportistas[nombres],MATCH(A355,TablaDeportistas[ID_Deportista],0)),"")</f>
        <v/>
      </c>
      <c r="Z355">
        <f>IF(OR(I355="",J355=""),"",ROUND(I355/((J355/100)^2),2))</f>
        <v/>
      </c>
      <c r="AA355">
        <f>IF(I355="","",ROUND(IF(K355="",0,K355)+IF(L355="",0,L355)+IF(O355="",0,O355)+IF(P355="",0,P355)+IF(Q355="",0,Q355)+IF(R355="",0,R355),1))</f>
        <v/>
      </c>
      <c r="AB355">
        <f>IF(I355="","",ROUND(IF(K355="",0,K355)+IF(L355="",0,L355)+IF(M355="",0,M355)+IF(N355="",0,N355)+IF(O355="",0,O355)+IF(P355="",0,P355)+IF(Q355="",0,Q355)+IF(R355="",0,R355),1))</f>
        <v/>
      </c>
      <c r="AD355">
        <f>IF(A355="","",A355&amp;"-"&amp;TEXT(C355,"yyyymmdd"))</f>
        <v/>
      </c>
    </row>
    <row r="356">
      <c r="B356">
        <f>IFERROR(INDEX(TablaDeportistas[primerApellido],MATCH(A356,TablaDeportistas[ID_Deportista],0))&amp;" "&amp;INDEX(TablaDeportistas[nombres],MATCH(A356,TablaDeportistas[ID_Deportista],0)),"")</f>
        <v/>
      </c>
      <c r="Z356">
        <f>IF(OR(I356="",J356=""),"",ROUND(I356/((J356/100)^2),2))</f>
        <v/>
      </c>
      <c r="AA356">
        <f>IF(I356="","",ROUND(IF(K356="",0,K356)+IF(L356="",0,L356)+IF(O356="",0,O356)+IF(P356="",0,P356)+IF(Q356="",0,Q356)+IF(R356="",0,R356),1))</f>
        <v/>
      </c>
      <c r="AB356">
        <f>IF(I356="","",ROUND(IF(K356="",0,K356)+IF(L356="",0,L356)+IF(M356="",0,M356)+IF(N356="",0,N356)+IF(O356="",0,O356)+IF(P356="",0,P356)+IF(Q356="",0,Q356)+IF(R356="",0,R356),1))</f>
        <v/>
      </c>
      <c r="AD356">
        <f>IF(A356="","",A356&amp;"-"&amp;TEXT(C356,"yyyymmdd"))</f>
        <v/>
      </c>
    </row>
    <row r="357">
      <c r="B357">
        <f>IFERROR(INDEX(TablaDeportistas[primerApellido],MATCH(A357,TablaDeportistas[ID_Deportista],0))&amp;" "&amp;INDEX(TablaDeportistas[nombres],MATCH(A357,TablaDeportistas[ID_Deportista],0)),"")</f>
        <v/>
      </c>
      <c r="Z357">
        <f>IF(OR(I357="",J357=""),"",ROUND(I357/((J357/100)^2),2))</f>
        <v/>
      </c>
      <c r="AA357">
        <f>IF(I357="","",ROUND(IF(K357="",0,K357)+IF(L357="",0,L357)+IF(O357="",0,O357)+IF(P357="",0,P357)+IF(Q357="",0,Q357)+IF(R357="",0,R357),1))</f>
        <v/>
      </c>
      <c r="AB357">
        <f>IF(I357="","",ROUND(IF(K357="",0,K357)+IF(L357="",0,L357)+IF(M357="",0,M357)+IF(N357="",0,N357)+IF(O357="",0,O357)+IF(P357="",0,P357)+IF(Q357="",0,Q357)+IF(R357="",0,R357),1))</f>
        <v/>
      </c>
      <c r="AD357">
        <f>IF(A357="","",A357&amp;"-"&amp;TEXT(C357,"yyyymmdd"))</f>
        <v/>
      </c>
    </row>
    <row r="358">
      <c r="B358">
        <f>IFERROR(INDEX(TablaDeportistas[primerApellido],MATCH(A358,TablaDeportistas[ID_Deportista],0))&amp;" "&amp;INDEX(TablaDeportistas[nombres],MATCH(A358,TablaDeportistas[ID_Deportista],0)),"")</f>
        <v/>
      </c>
      <c r="Z358">
        <f>IF(OR(I358="",J358=""),"",ROUND(I358/((J358/100)^2),2))</f>
        <v/>
      </c>
      <c r="AA358">
        <f>IF(I358="","",ROUND(IF(K358="",0,K358)+IF(L358="",0,L358)+IF(O358="",0,O358)+IF(P358="",0,P358)+IF(Q358="",0,Q358)+IF(R358="",0,R358),1))</f>
        <v/>
      </c>
      <c r="AB358">
        <f>IF(I358="","",ROUND(IF(K358="",0,K358)+IF(L358="",0,L358)+IF(M358="",0,M358)+IF(N358="",0,N358)+IF(O358="",0,O358)+IF(P358="",0,P358)+IF(Q358="",0,Q358)+IF(R358="",0,R358),1))</f>
        <v/>
      </c>
      <c r="AD358">
        <f>IF(A358="","",A358&amp;"-"&amp;TEXT(C358,"yyyymmdd"))</f>
        <v/>
      </c>
    </row>
    <row r="359">
      <c r="B359">
        <f>IFERROR(INDEX(TablaDeportistas[primerApellido],MATCH(A359,TablaDeportistas[ID_Deportista],0))&amp;" "&amp;INDEX(TablaDeportistas[nombres],MATCH(A359,TablaDeportistas[ID_Deportista],0)),"")</f>
        <v/>
      </c>
      <c r="Z359">
        <f>IF(OR(I359="",J359=""),"",ROUND(I359/((J359/100)^2),2))</f>
        <v/>
      </c>
      <c r="AA359">
        <f>IF(I359="","",ROUND(IF(K359="",0,K359)+IF(L359="",0,L359)+IF(O359="",0,O359)+IF(P359="",0,P359)+IF(Q359="",0,Q359)+IF(R359="",0,R359),1))</f>
        <v/>
      </c>
      <c r="AB359">
        <f>IF(I359="","",ROUND(IF(K359="",0,K359)+IF(L359="",0,L359)+IF(M359="",0,M359)+IF(N359="",0,N359)+IF(O359="",0,O359)+IF(P359="",0,P359)+IF(Q359="",0,Q359)+IF(R359="",0,R359),1))</f>
        <v/>
      </c>
      <c r="AD359">
        <f>IF(A359="","",A359&amp;"-"&amp;TEXT(C359,"yyyymmdd"))</f>
        <v/>
      </c>
    </row>
    <row r="360">
      <c r="B360">
        <f>IFERROR(INDEX(TablaDeportistas[primerApellido],MATCH(A360,TablaDeportistas[ID_Deportista],0))&amp;" "&amp;INDEX(TablaDeportistas[nombres],MATCH(A360,TablaDeportistas[ID_Deportista],0)),"")</f>
        <v/>
      </c>
      <c r="Z360">
        <f>IF(OR(I360="",J360=""),"",ROUND(I360/((J360/100)^2),2))</f>
        <v/>
      </c>
      <c r="AA360">
        <f>IF(I360="","",ROUND(IF(K360="",0,K360)+IF(L360="",0,L360)+IF(O360="",0,O360)+IF(P360="",0,P360)+IF(Q360="",0,Q360)+IF(R360="",0,R360),1))</f>
        <v/>
      </c>
      <c r="AB360">
        <f>IF(I360="","",ROUND(IF(K360="",0,K360)+IF(L360="",0,L360)+IF(M360="",0,M360)+IF(N360="",0,N360)+IF(O360="",0,O360)+IF(P360="",0,P360)+IF(Q360="",0,Q360)+IF(R360="",0,R360),1))</f>
        <v/>
      </c>
      <c r="AD360">
        <f>IF(A360="","",A360&amp;"-"&amp;TEXT(C360,"yyyymmdd"))</f>
        <v/>
      </c>
    </row>
    <row r="361">
      <c r="B361">
        <f>IFERROR(INDEX(TablaDeportistas[primerApellido],MATCH(A361,TablaDeportistas[ID_Deportista],0))&amp;" "&amp;INDEX(TablaDeportistas[nombres],MATCH(A361,TablaDeportistas[ID_Deportista],0)),"")</f>
        <v/>
      </c>
      <c r="Z361">
        <f>IF(OR(I361="",J361=""),"",ROUND(I361/((J361/100)^2),2))</f>
        <v/>
      </c>
      <c r="AA361">
        <f>IF(I361="","",ROUND(IF(K361="",0,K361)+IF(L361="",0,L361)+IF(O361="",0,O361)+IF(P361="",0,P361)+IF(Q361="",0,Q361)+IF(R361="",0,R361),1))</f>
        <v/>
      </c>
      <c r="AB361">
        <f>IF(I361="","",ROUND(IF(K361="",0,K361)+IF(L361="",0,L361)+IF(M361="",0,M361)+IF(N361="",0,N361)+IF(O361="",0,O361)+IF(P361="",0,P361)+IF(Q361="",0,Q361)+IF(R361="",0,R361),1))</f>
        <v/>
      </c>
      <c r="AD361">
        <f>IF(A361="","",A361&amp;"-"&amp;TEXT(C361,"yyyymmdd"))</f>
        <v/>
      </c>
    </row>
    <row r="362">
      <c r="B362">
        <f>IFERROR(INDEX(TablaDeportistas[primerApellido],MATCH(A362,TablaDeportistas[ID_Deportista],0))&amp;" "&amp;INDEX(TablaDeportistas[nombres],MATCH(A362,TablaDeportistas[ID_Deportista],0)),"")</f>
        <v/>
      </c>
      <c r="Z362">
        <f>IF(OR(I362="",J362=""),"",ROUND(I362/((J362/100)^2),2))</f>
        <v/>
      </c>
      <c r="AA362">
        <f>IF(I362="","",ROUND(IF(K362="",0,K362)+IF(L362="",0,L362)+IF(O362="",0,O362)+IF(P362="",0,P362)+IF(Q362="",0,Q362)+IF(R362="",0,R362),1))</f>
        <v/>
      </c>
      <c r="AB362">
        <f>IF(I362="","",ROUND(IF(K362="",0,K362)+IF(L362="",0,L362)+IF(M362="",0,M362)+IF(N362="",0,N362)+IF(O362="",0,O362)+IF(P362="",0,P362)+IF(Q362="",0,Q362)+IF(R362="",0,R362),1))</f>
        <v/>
      </c>
      <c r="AD362">
        <f>IF(A362="","",A362&amp;"-"&amp;TEXT(C362,"yyyymmdd"))</f>
        <v/>
      </c>
    </row>
    <row r="363">
      <c r="B363">
        <f>IFERROR(INDEX(TablaDeportistas[primerApellido],MATCH(A363,TablaDeportistas[ID_Deportista],0))&amp;" "&amp;INDEX(TablaDeportistas[nombres],MATCH(A363,TablaDeportistas[ID_Deportista],0)),"")</f>
        <v/>
      </c>
      <c r="Z363">
        <f>IF(OR(I363="",J363=""),"",ROUND(I363/((J363/100)^2),2))</f>
        <v/>
      </c>
      <c r="AA363">
        <f>IF(I363="","",ROUND(IF(K363="",0,K363)+IF(L363="",0,L363)+IF(O363="",0,O363)+IF(P363="",0,P363)+IF(Q363="",0,Q363)+IF(R363="",0,R363),1))</f>
        <v/>
      </c>
      <c r="AB363">
        <f>IF(I363="","",ROUND(IF(K363="",0,K363)+IF(L363="",0,L363)+IF(M363="",0,M363)+IF(N363="",0,N363)+IF(O363="",0,O363)+IF(P363="",0,P363)+IF(Q363="",0,Q363)+IF(R363="",0,R363),1))</f>
        <v/>
      </c>
      <c r="AD363">
        <f>IF(A363="","",A363&amp;"-"&amp;TEXT(C363,"yyyymmdd"))</f>
        <v/>
      </c>
    </row>
    <row r="364">
      <c r="B364">
        <f>IFERROR(INDEX(TablaDeportistas[primerApellido],MATCH(A364,TablaDeportistas[ID_Deportista],0))&amp;" "&amp;INDEX(TablaDeportistas[nombres],MATCH(A364,TablaDeportistas[ID_Deportista],0)),"")</f>
        <v/>
      </c>
      <c r="Z364">
        <f>IF(OR(I364="",J364=""),"",ROUND(I364/((J364/100)^2),2))</f>
        <v/>
      </c>
      <c r="AA364">
        <f>IF(I364="","",ROUND(IF(K364="",0,K364)+IF(L364="",0,L364)+IF(O364="",0,O364)+IF(P364="",0,P364)+IF(Q364="",0,Q364)+IF(R364="",0,R364),1))</f>
        <v/>
      </c>
      <c r="AB364">
        <f>IF(I364="","",ROUND(IF(K364="",0,K364)+IF(L364="",0,L364)+IF(M364="",0,M364)+IF(N364="",0,N364)+IF(O364="",0,O364)+IF(P364="",0,P364)+IF(Q364="",0,Q364)+IF(R364="",0,R364),1))</f>
        <v/>
      </c>
      <c r="AD364">
        <f>IF(A364="","",A364&amp;"-"&amp;TEXT(C364,"yyyymmdd"))</f>
        <v/>
      </c>
    </row>
    <row r="365">
      <c r="B365">
        <f>IFERROR(INDEX(TablaDeportistas[primerApellido],MATCH(A365,TablaDeportistas[ID_Deportista],0))&amp;" "&amp;INDEX(TablaDeportistas[nombres],MATCH(A365,TablaDeportistas[ID_Deportista],0)),"")</f>
        <v/>
      </c>
      <c r="Z365">
        <f>IF(OR(I365="",J365=""),"",ROUND(I365/((J365/100)^2),2))</f>
        <v/>
      </c>
      <c r="AA365">
        <f>IF(I365="","",ROUND(IF(K365="",0,K365)+IF(L365="",0,L365)+IF(O365="",0,O365)+IF(P365="",0,P365)+IF(Q365="",0,Q365)+IF(R365="",0,R365),1))</f>
        <v/>
      </c>
      <c r="AB365">
        <f>IF(I365="","",ROUND(IF(K365="",0,K365)+IF(L365="",0,L365)+IF(M365="",0,M365)+IF(N365="",0,N365)+IF(O365="",0,O365)+IF(P365="",0,P365)+IF(Q365="",0,Q365)+IF(R365="",0,R365),1))</f>
        <v/>
      </c>
      <c r="AD365">
        <f>IF(A365="","",A365&amp;"-"&amp;TEXT(C365,"yyyymmdd"))</f>
        <v/>
      </c>
    </row>
    <row r="366">
      <c r="B366">
        <f>IFERROR(INDEX(TablaDeportistas[primerApellido],MATCH(A366,TablaDeportistas[ID_Deportista],0))&amp;" "&amp;INDEX(TablaDeportistas[nombres],MATCH(A366,TablaDeportistas[ID_Deportista],0)),"")</f>
        <v/>
      </c>
      <c r="Z366">
        <f>IF(OR(I366="",J366=""),"",ROUND(I366/((J366/100)^2),2))</f>
        <v/>
      </c>
      <c r="AA366">
        <f>IF(I366="","",ROUND(IF(K366="",0,K366)+IF(L366="",0,L366)+IF(O366="",0,O366)+IF(P366="",0,P366)+IF(Q366="",0,Q366)+IF(R366="",0,R366),1))</f>
        <v/>
      </c>
      <c r="AB366">
        <f>IF(I366="","",ROUND(IF(K366="",0,K366)+IF(L366="",0,L366)+IF(M366="",0,M366)+IF(N366="",0,N366)+IF(O366="",0,O366)+IF(P366="",0,P366)+IF(Q366="",0,Q366)+IF(R366="",0,R366),1))</f>
        <v/>
      </c>
      <c r="AD366">
        <f>IF(A366="","",A366&amp;"-"&amp;TEXT(C366,"yyyymmdd"))</f>
        <v/>
      </c>
    </row>
    <row r="367">
      <c r="B367">
        <f>IFERROR(INDEX(TablaDeportistas[primerApellido],MATCH(A367,TablaDeportistas[ID_Deportista],0))&amp;" "&amp;INDEX(TablaDeportistas[nombres],MATCH(A367,TablaDeportistas[ID_Deportista],0)),"")</f>
        <v/>
      </c>
      <c r="Z367">
        <f>IF(OR(I367="",J367=""),"",ROUND(I367/((J367/100)^2),2))</f>
        <v/>
      </c>
      <c r="AA367">
        <f>IF(I367="","",ROUND(IF(K367="",0,K367)+IF(L367="",0,L367)+IF(O367="",0,O367)+IF(P367="",0,P367)+IF(Q367="",0,Q367)+IF(R367="",0,R367),1))</f>
        <v/>
      </c>
      <c r="AB367">
        <f>IF(I367="","",ROUND(IF(K367="",0,K367)+IF(L367="",0,L367)+IF(M367="",0,M367)+IF(N367="",0,N367)+IF(O367="",0,O367)+IF(P367="",0,P367)+IF(Q367="",0,Q367)+IF(R367="",0,R367),1))</f>
        <v/>
      </c>
      <c r="AD367">
        <f>IF(A367="","",A367&amp;"-"&amp;TEXT(C367,"yyyymmdd"))</f>
        <v/>
      </c>
    </row>
    <row r="368">
      <c r="B368">
        <f>IFERROR(INDEX(TablaDeportistas[primerApellido],MATCH(A368,TablaDeportistas[ID_Deportista],0))&amp;" "&amp;INDEX(TablaDeportistas[nombres],MATCH(A368,TablaDeportistas[ID_Deportista],0)),"")</f>
        <v/>
      </c>
      <c r="Z368">
        <f>IF(OR(I368="",J368=""),"",ROUND(I368/((J368/100)^2),2))</f>
        <v/>
      </c>
      <c r="AA368">
        <f>IF(I368="","",ROUND(IF(K368="",0,K368)+IF(L368="",0,L368)+IF(O368="",0,O368)+IF(P368="",0,P368)+IF(Q368="",0,Q368)+IF(R368="",0,R368),1))</f>
        <v/>
      </c>
      <c r="AB368">
        <f>IF(I368="","",ROUND(IF(K368="",0,K368)+IF(L368="",0,L368)+IF(M368="",0,M368)+IF(N368="",0,N368)+IF(O368="",0,O368)+IF(P368="",0,P368)+IF(Q368="",0,Q368)+IF(R368="",0,R368),1))</f>
        <v/>
      </c>
      <c r="AD368">
        <f>IF(A368="","",A368&amp;"-"&amp;TEXT(C368,"yyyymmdd"))</f>
        <v/>
      </c>
    </row>
    <row r="369">
      <c r="B369">
        <f>IFERROR(INDEX(TablaDeportistas[primerApellido],MATCH(A369,TablaDeportistas[ID_Deportista],0))&amp;" "&amp;INDEX(TablaDeportistas[nombres],MATCH(A369,TablaDeportistas[ID_Deportista],0)),"")</f>
        <v/>
      </c>
      <c r="Z369">
        <f>IF(OR(I369="",J369=""),"",ROUND(I369/((J369/100)^2),2))</f>
        <v/>
      </c>
      <c r="AA369">
        <f>IF(I369="","",ROUND(IF(K369="",0,K369)+IF(L369="",0,L369)+IF(O369="",0,O369)+IF(P369="",0,P369)+IF(Q369="",0,Q369)+IF(R369="",0,R369),1))</f>
        <v/>
      </c>
      <c r="AB369">
        <f>IF(I369="","",ROUND(IF(K369="",0,K369)+IF(L369="",0,L369)+IF(M369="",0,M369)+IF(N369="",0,N369)+IF(O369="",0,O369)+IF(P369="",0,P369)+IF(Q369="",0,Q369)+IF(R369="",0,R369),1))</f>
        <v/>
      </c>
      <c r="AD369">
        <f>IF(A369="","",A369&amp;"-"&amp;TEXT(C369,"yyyymmdd"))</f>
        <v/>
      </c>
    </row>
    <row r="370">
      <c r="B370">
        <f>IFERROR(INDEX(TablaDeportistas[primerApellido],MATCH(A370,TablaDeportistas[ID_Deportista],0))&amp;" "&amp;INDEX(TablaDeportistas[nombres],MATCH(A370,TablaDeportistas[ID_Deportista],0)),"")</f>
        <v/>
      </c>
      <c r="Z370">
        <f>IF(OR(I370="",J370=""),"",ROUND(I370/((J370/100)^2),2))</f>
        <v/>
      </c>
      <c r="AA370">
        <f>IF(I370="","",ROUND(IF(K370="",0,K370)+IF(L370="",0,L370)+IF(O370="",0,O370)+IF(P370="",0,P370)+IF(Q370="",0,Q370)+IF(R370="",0,R370),1))</f>
        <v/>
      </c>
      <c r="AB370">
        <f>IF(I370="","",ROUND(IF(K370="",0,K370)+IF(L370="",0,L370)+IF(M370="",0,M370)+IF(N370="",0,N370)+IF(O370="",0,O370)+IF(P370="",0,P370)+IF(Q370="",0,Q370)+IF(R370="",0,R370),1))</f>
        <v/>
      </c>
      <c r="AD370">
        <f>IF(A370="","",A370&amp;"-"&amp;TEXT(C370,"yyyymmdd"))</f>
        <v/>
      </c>
    </row>
    <row r="371">
      <c r="B371">
        <f>IFERROR(INDEX(TablaDeportistas[primerApellido],MATCH(A371,TablaDeportistas[ID_Deportista],0))&amp;" "&amp;INDEX(TablaDeportistas[nombres],MATCH(A371,TablaDeportistas[ID_Deportista],0)),"")</f>
        <v/>
      </c>
      <c r="Z371">
        <f>IF(OR(I371="",J371=""),"",ROUND(I371/((J371/100)^2),2))</f>
        <v/>
      </c>
      <c r="AA371">
        <f>IF(I371="","",ROUND(IF(K371="",0,K371)+IF(L371="",0,L371)+IF(O371="",0,O371)+IF(P371="",0,P371)+IF(Q371="",0,Q371)+IF(R371="",0,R371),1))</f>
        <v/>
      </c>
      <c r="AB371">
        <f>IF(I371="","",ROUND(IF(K371="",0,K371)+IF(L371="",0,L371)+IF(M371="",0,M371)+IF(N371="",0,N371)+IF(O371="",0,O371)+IF(P371="",0,P371)+IF(Q371="",0,Q371)+IF(R371="",0,R371),1))</f>
        <v/>
      </c>
      <c r="AD371">
        <f>IF(A371="","",A371&amp;"-"&amp;TEXT(C371,"yyyymmdd"))</f>
        <v/>
      </c>
    </row>
    <row r="372">
      <c r="B372">
        <f>IFERROR(INDEX(TablaDeportistas[primerApellido],MATCH(A372,TablaDeportistas[ID_Deportista],0))&amp;" "&amp;INDEX(TablaDeportistas[nombres],MATCH(A372,TablaDeportistas[ID_Deportista],0)),"")</f>
        <v/>
      </c>
      <c r="Z372">
        <f>IF(OR(I372="",J372=""),"",ROUND(I372/((J372/100)^2),2))</f>
        <v/>
      </c>
      <c r="AA372">
        <f>IF(I372="","",ROUND(IF(K372="",0,K372)+IF(L372="",0,L372)+IF(O372="",0,O372)+IF(P372="",0,P372)+IF(Q372="",0,Q372)+IF(R372="",0,R372),1))</f>
        <v/>
      </c>
      <c r="AB372">
        <f>IF(I372="","",ROUND(IF(K372="",0,K372)+IF(L372="",0,L372)+IF(M372="",0,M372)+IF(N372="",0,N372)+IF(O372="",0,O372)+IF(P372="",0,P372)+IF(Q372="",0,Q372)+IF(R372="",0,R372),1))</f>
        <v/>
      </c>
      <c r="AD372">
        <f>IF(A372="","",A372&amp;"-"&amp;TEXT(C372,"yyyymmdd"))</f>
        <v/>
      </c>
    </row>
    <row r="373">
      <c r="B373">
        <f>IFERROR(INDEX(TablaDeportistas[primerApellido],MATCH(A373,TablaDeportistas[ID_Deportista],0))&amp;" "&amp;INDEX(TablaDeportistas[nombres],MATCH(A373,TablaDeportistas[ID_Deportista],0)),"")</f>
        <v/>
      </c>
      <c r="Z373">
        <f>IF(OR(I373="",J373=""),"",ROUND(I373/((J373/100)^2),2))</f>
        <v/>
      </c>
      <c r="AA373">
        <f>IF(I373="","",ROUND(IF(K373="",0,K373)+IF(L373="",0,L373)+IF(O373="",0,O373)+IF(P373="",0,P373)+IF(Q373="",0,Q373)+IF(R373="",0,R373),1))</f>
        <v/>
      </c>
      <c r="AB373">
        <f>IF(I373="","",ROUND(IF(K373="",0,K373)+IF(L373="",0,L373)+IF(M373="",0,M373)+IF(N373="",0,N373)+IF(O373="",0,O373)+IF(P373="",0,P373)+IF(Q373="",0,Q373)+IF(R373="",0,R373),1))</f>
        <v/>
      </c>
      <c r="AD373">
        <f>IF(A373="","",A373&amp;"-"&amp;TEXT(C373,"yyyymmdd"))</f>
        <v/>
      </c>
    </row>
    <row r="374">
      <c r="B374">
        <f>IFERROR(INDEX(TablaDeportistas[primerApellido],MATCH(A374,TablaDeportistas[ID_Deportista],0))&amp;" "&amp;INDEX(TablaDeportistas[nombres],MATCH(A374,TablaDeportistas[ID_Deportista],0)),"")</f>
        <v/>
      </c>
      <c r="Z374">
        <f>IF(OR(I374="",J374=""),"",ROUND(I374/((J374/100)^2),2))</f>
        <v/>
      </c>
      <c r="AA374">
        <f>IF(I374="","",ROUND(IF(K374="",0,K374)+IF(L374="",0,L374)+IF(O374="",0,O374)+IF(P374="",0,P374)+IF(Q374="",0,Q374)+IF(R374="",0,R374),1))</f>
        <v/>
      </c>
      <c r="AB374">
        <f>IF(I374="","",ROUND(IF(K374="",0,K374)+IF(L374="",0,L374)+IF(M374="",0,M374)+IF(N374="",0,N374)+IF(O374="",0,O374)+IF(P374="",0,P374)+IF(Q374="",0,Q374)+IF(R374="",0,R374),1))</f>
        <v/>
      </c>
      <c r="AD374">
        <f>IF(A374="","",A374&amp;"-"&amp;TEXT(C374,"yyyymmdd"))</f>
        <v/>
      </c>
    </row>
    <row r="375">
      <c r="B375">
        <f>IFERROR(INDEX(TablaDeportistas[primerApellido],MATCH(A375,TablaDeportistas[ID_Deportista],0))&amp;" "&amp;INDEX(TablaDeportistas[nombres],MATCH(A375,TablaDeportistas[ID_Deportista],0)),"")</f>
        <v/>
      </c>
      <c r="Z375">
        <f>IF(OR(I375="",J375=""),"",ROUND(I375/((J375/100)^2),2))</f>
        <v/>
      </c>
      <c r="AA375">
        <f>IF(I375="","",ROUND(IF(K375="",0,K375)+IF(L375="",0,L375)+IF(O375="",0,O375)+IF(P375="",0,P375)+IF(Q375="",0,Q375)+IF(R375="",0,R375),1))</f>
        <v/>
      </c>
      <c r="AB375">
        <f>IF(I375="","",ROUND(IF(K375="",0,K375)+IF(L375="",0,L375)+IF(M375="",0,M375)+IF(N375="",0,N375)+IF(O375="",0,O375)+IF(P375="",0,P375)+IF(Q375="",0,Q375)+IF(R375="",0,R375),1))</f>
        <v/>
      </c>
      <c r="AD375">
        <f>IF(A375="","",A375&amp;"-"&amp;TEXT(C375,"yyyymmdd"))</f>
        <v/>
      </c>
    </row>
    <row r="376">
      <c r="B376">
        <f>IFERROR(INDEX(TablaDeportistas[primerApellido],MATCH(A376,TablaDeportistas[ID_Deportista],0))&amp;" "&amp;INDEX(TablaDeportistas[nombres],MATCH(A376,TablaDeportistas[ID_Deportista],0)),"")</f>
        <v/>
      </c>
      <c r="Z376">
        <f>IF(OR(I376="",J376=""),"",ROUND(I376/((J376/100)^2),2))</f>
        <v/>
      </c>
      <c r="AA376">
        <f>IF(I376="","",ROUND(IF(K376="",0,K376)+IF(L376="",0,L376)+IF(O376="",0,O376)+IF(P376="",0,P376)+IF(Q376="",0,Q376)+IF(R376="",0,R376),1))</f>
        <v/>
      </c>
      <c r="AB376">
        <f>IF(I376="","",ROUND(IF(K376="",0,K376)+IF(L376="",0,L376)+IF(M376="",0,M376)+IF(N376="",0,N376)+IF(O376="",0,O376)+IF(P376="",0,P376)+IF(Q376="",0,Q376)+IF(R376="",0,R376),1))</f>
        <v/>
      </c>
      <c r="AD376">
        <f>IF(A376="","",A376&amp;"-"&amp;TEXT(C376,"yyyymmdd"))</f>
        <v/>
      </c>
    </row>
    <row r="377">
      <c r="B377">
        <f>IFERROR(INDEX(TablaDeportistas[primerApellido],MATCH(A377,TablaDeportistas[ID_Deportista],0))&amp;" "&amp;INDEX(TablaDeportistas[nombres],MATCH(A377,TablaDeportistas[ID_Deportista],0)),"")</f>
        <v/>
      </c>
      <c r="Z377">
        <f>IF(OR(I377="",J377=""),"",ROUND(I377/((J377/100)^2),2))</f>
        <v/>
      </c>
      <c r="AA377">
        <f>IF(I377="","",ROUND(IF(K377="",0,K377)+IF(L377="",0,L377)+IF(O377="",0,O377)+IF(P377="",0,P377)+IF(Q377="",0,Q377)+IF(R377="",0,R377),1))</f>
        <v/>
      </c>
      <c r="AB377">
        <f>IF(I377="","",ROUND(IF(K377="",0,K377)+IF(L377="",0,L377)+IF(M377="",0,M377)+IF(N377="",0,N377)+IF(O377="",0,O377)+IF(P377="",0,P377)+IF(Q377="",0,Q377)+IF(R377="",0,R377),1))</f>
        <v/>
      </c>
      <c r="AD377">
        <f>IF(A377="","",A377&amp;"-"&amp;TEXT(C377,"yyyymmdd"))</f>
        <v/>
      </c>
    </row>
    <row r="378">
      <c r="B378">
        <f>IFERROR(INDEX(TablaDeportistas[primerApellido],MATCH(A378,TablaDeportistas[ID_Deportista],0))&amp;" "&amp;INDEX(TablaDeportistas[nombres],MATCH(A378,TablaDeportistas[ID_Deportista],0)),"")</f>
        <v/>
      </c>
      <c r="Z378">
        <f>IF(OR(I378="",J378=""),"",ROUND(I378/((J378/100)^2),2))</f>
        <v/>
      </c>
      <c r="AA378">
        <f>IF(I378="","",ROUND(IF(K378="",0,K378)+IF(L378="",0,L378)+IF(O378="",0,O378)+IF(P378="",0,P378)+IF(Q378="",0,Q378)+IF(R378="",0,R378),1))</f>
        <v/>
      </c>
      <c r="AB378">
        <f>IF(I378="","",ROUND(IF(K378="",0,K378)+IF(L378="",0,L378)+IF(M378="",0,M378)+IF(N378="",0,N378)+IF(O378="",0,O378)+IF(P378="",0,P378)+IF(Q378="",0,Q378)+IF(R378="",0,R378),1))</f>
        <v/>
      </c>
      <c r="AD378">
        <f>IF(A378="","",A378&amp;"-"&amp;TEXT(C378,"yyyymmdd"))</f>
        <v/>
      </c>
    </row>
    <row r="379">
      <c r="B379">
        <f>IFERROR(INDEX(TablaDeportistas[primerApellido],MATCH(A379,TablaDeportistas[ID_Deportista],0))&amp;" "&amp;INDEX(TablaDeportistas[nombres],MATCH(A379,TablaDeportistas[ID_Deportista],0)),"")</f>
        <v/>
      </c>
      <c r="Z379">
        <f>IF(OR(I379="",J379=""),"",ROUND(I379/((J379/100)^2),2))</f>
        <v/>
      </c>
      <c r="AA379">
        <f>IF(I379="","",ROUND(IF(K379="",0,K379)+IF(L379="",0,L379)+IF(O379="",0,O379)+IF(P379="",0,P379)+IF(Q379="",0,Q379)+IF(R379="",0,R379),1))</f>
        <v/>
      </c>
      <c r="AB379">
        <f>IF(I379="","",ROUND(IF(K379="",0,K379)+IF(L379="",0,L379)+IF(M379="",0,M379)+IF(N379="",0,N379)+IF(O379="",0,O379)+IF(P379="",0,P379)+IF(Q379="",0,Q379)+IF(R379="",0,R379),1))</f>
        <v/>
      </c>
      <c r="AD379">
        <f>IF(A379="","",A379&amp;"-"&amp;TEXT(C379,"yyyymmdd"))</f>
        <v/>
      </c>
    </row>
    <row r="380">
      <c r="B380">
        <f>IFERROR(INDEX(TablaDeportistas[primerApellido],MATCH(A380,TablaDeportistas[ID_Deportista],0))&amp;" "&amp;INDEX(TablaDeportistas[nombres],MATCH(A380,TablaDeportistas[ID_Deportista],0)),"")</f>
        <v/>
      </c>
      <c r="Z380">
        <f>IF(OR(I380="",J380=""),"",ROUND(I380/((J380/100)^2),2))</f>
        <v/>
      </c>
      <c r="AA380">
        <f>IF(I380="","",ROUND(IF(K380="",0,K380)+IF(L380="",0,L380)+IF(O380="",0,O380)+IF(P380="",0,P380)+IF(Q380="",0,Q380)+IF(R380="",0,R380),1))</f>
        <v/>
      </c>
      <c r="AB380">
        <f>IF(I380="","",ROUND(IF(K380="",0,K380)+IF(L380="",0,L380)+IF(M380="",0,M380)+IF(N380="",0,N380)+IF(O380="",0,O380)+IF(P380="",0,P380)+IF(Q380="",0,Q380)+IF(R380="",0,R380),1))</f>
        <v/>
      </c>
      <c r="AD380">
        <f>IF(A380="","",A380&amp;"-"&amp;TEXT(C380,"yyyymmdd"))</f>
        <v/>
      </c>
    </row>
    <row r="381">
      <c r="B381">
        <f>IFERROR(INDEX(TablaDeportistas[primerApellido],MATCH(A381,TablaDeportistas[ID_Deportista],0))&amp;" "&amp;INDEX(TablaDeportistas[nombres],MATCH(A381,TablaDeportistas[ID_Deportista],0)),"")</f>
        <v/>
      </c>
      <c r="Z381">
        <f>IF(OR(I381="",J381=""),"",ROUND(I381/((J381/100)^2),2))</f>
        <v/>
      </c>
      <c r="AA381">
        <f>IF(I381="","",ROUND(IF(K381="",0,K381)+IF(L381="",0,L381)+IF(O381="",0,O381)+IF(P381="",0,P381)+IF(Q381="",0,Q381)+IF(R381="",0,R381),1))</f>
        <v/>
      </c>
      <c r="AB381">
        <f>IF(I381="","",ROUND(IF(K381="",0,K381)+IF(L381="",0,L381)+IF(M381="",0,M381)+IF(N381="",0,N381)+IF(O381="",0,O381)+IF(P381="",0,P381)+IF(Q381="",0,Q381)+IF(R381="",0,R381),1))</f>
        <v/>
      </c>
      <c r="AD381">
        <f>IF(A381="","",A381&amp;"-"&amp;TEXT(C381,"yyyymmdd"))</f>
        <v/>
      </c>
    </row>
    <row r="382">
      <c r="B382">
        <f>IFERROR(INDEX(TablaDeportistas[primerApellido],MATCH(A382,TablaDeportistas[ID_Deportista],0))&amp;" "&amp;INDEX(TablaDeportistas[nombres],MATCH(A382,TablaDeportistas[ID_Deportista],0)),"")</f>
        <v/>
      </c>
      <c r="Z382">
        <f>IF(OR(I382="",J382=""),"",ROUND(I382/((J382/100)^2),2))</f>
        <v/>
      </c>
      <c r="AA382">
        <f>IF(I382="","",ROUND(IF(K382="",0,K382)+IF(L382="",0,L382)+IF(O382="",0,O382)+IF(P382="",0,P382)+IF(Q382="",0,Q382)+IF(R382="",0,R382),1))</f>
        <v/>
      </c>
      <c r="AB382">
        <f>IF(I382="","",ROUND(IF(K382="",0,K382)+IF(L382="",0,L382)+IF(M382="",0,M382)+IF(N382="",0,N382)+IF(O382="",0,O382)+IF(P382="",0,P382)+IF(Q382="",0,Q382)+IF(R382="",0,R382),1))</f>
        <v/>
      </c>
      <c r="AD382">
        <f>IF(A382="","",A382&amp;"-"&amp;TEXT(C382,"yyyymmdd"))</f>
        <v/>
      </c>
    </row>
    <row r="383">
      <c r="B383">
        <f>IFERROR(INDEX(TablaDeportistas[primerApellido],MATCH(A383,TablaDeportistas[ID_Deportista],0))&amp;" "&amp;INDEX(TablaDeportistas[nombres],MATCH(A383,TablaDeportistas[ID_Deportista],0)),"")</f>
        <v/>
      </c>
      <c r="Z383">
        <f>IF(OR(I383="",J383=""),"",ROUND(I383/((J383/100)^2),2))</f>
        <v/>
      </c>
      <c r="AA383">
        <f>IF(I383="","",ROUND(IF(K383="",0,K383)+IF(L383="",0,L383)+IF(O383="",0,O383)+IF(P383="",0,P383)+IF(Q383="",0,Q383)+IF(R383="",0,R383),1))</f>
        <v/>
      </c>
      <c r="AB383">
        <f>IF(I383="","",ROUND(IF(K383="",0,K383)+IF(L383="",0,L383)+IF(M383="",0,M383)+IF(N383="",0,N383)+IF(O383="",0,O383)+IF(P383="",0,P383)+IF(Q383="",0,Q383)+IF(R383="",0,R383),1))</f>
        <v/>
      </c>
      <c r="AD383">
        <f>IF(A383="","",A383&amp;"-"&amp;TEXT(C383,"yyyymmdd"))</f>
        <v/>
      </c>
    </row>
    <row r="384">
      <c r="B384">
        <f>IFERROR(INDEX(TablaDeportistas[primerApellido],MATCH(A384,TablaDeportistas[ID_Deportista],0))&amp;" "&amp;INDEX(TablaDeportistas[nombres],MATCH(A384,TablaDeportistas[ID_Deportista],0)),"")</f>
        <v/>
      </c>
      <c r="Z384">
        <f>IF(OR(I384="",J384=""),"",ROUND(I384/((J384/100)^2),2))</f>
        <v/>
      </c>
      <c r="AA384">
        <f>IF(I384="","",ROUND(IF(K384="",0,K384)+IF(L384="",0,L384)+IF(O384="",0,O384)+IF(P384="",0,P384)+IF(Q384="",0,Q384)+IF(R384="",0,R384),1))</f>
        <v/>
      </c>
      <c r="AB384">
        <f>IF(I384="","",ROUND(IF(K384="",0,K384)+IF(L384="",0,L384)+IF(M384="",0,M384)+IF(N384="",0,N384)+IF(O384="",0,O384)+IF(P384="",0,P384)+IF(Q384="",0,Q384)+IF(R384="",0,R384),1))</f>
        <v/>
      </c>
      <c r="AD384">
        <f>IF(A384="","",A384&amp;"-"&amp;TEXT(C384,"yyyymmdd"))</f>
        <v/>
      </c>
    </row>
    <row r="385">
      <c r="B385">
        <f>IFERROR(INDEX(TablaDeportistas[primerApellido],MATCH(A385,TablaDeportistas[ID_Deportista],0))&amp;" "&amp;INDEX(TablaDeportistas[nombres],MATCH(A385,TablaDeportistas[ID_Deportista],0)),"")</f>
        <v/>
      </c>
      <c r="Z385">
        <f>IF(OR(I385="",J385=""),"",ROUND(I385/((J385/100)^2),2))</f>
        <v/>
      </c>
      <c r="AA385">
        <f>IF(I385="","",ROUND(IF(K385="",0,K385)+IF(L385="",0,L385)+IF(O385="",0,O385)+IF(P385="",0,P385)+IF(Q385="",0,Q385)+IF(R385="",0,R385),1))</f>
        <v/>
      </c>
      <c r="AB385">
        <f>IF(I385="","",ROUND(IF(K385="",0,K385)+IF(L385="",0,L385)+IF(M385="",0,M385)+IF(N385="",0,N385)+IF(O385="",0,O385)+IF(P385="",0,P385)+IF(Q385="",0,Q385)+IF(R385="",0,R385),1))</f>
        <v/>
      </c>
      <c r="AD385">
        <f>IF(A385="","",A385&amp;"-"&amp;TEXT(C385,"yyyymmdd"))</f>
        <v/>
      </c>
    </row>
    <row r="386">
      <c r="B386">
        <f>IFERROR(INDEX(TablaDeportistas[primerApellido],MATCH(A386,TablaDeportistas[ID_Deportista],0))&amp;" "&amp;INDEX(TablaDeportistas[nombres],MATCH(A386,TablaDeportistas[ID_Deportista],0)),"")</f>
        <v/>
      </c>
      <c r="Z386">
        <f>IF(OR(I386="",J386=""),"",ROUND(I386/((J386/100)^2),2))</f>
        <v/>
      </c>
      <c r="AA386">
        <f>IF(I386="","",ROUND(IF(K386="",0,K386)+IF(L386="",0,L386)+IF(O386="",0,O386)+IF(P386="",0,P386)+IF(Q386="",0,Q386)+IF(R386="",0,R386),1))</f>
        <v/>
      </c>
      <c r="AB386">
        <f>IF(I386="","",ROUND(IF(K386="",0,K386)+IF(L386="",0,L386)+IF(M386="",0,M386)+IF(N386="",0,N386)+IF(O386="",0,O386)+IF(P386="",0,P386)+IF(Q386="",0,Q386)+IF(R386="",0,R386),1))</f>
        <v/>
      </c>
      <c r="AD386">
        <f>IF(A386="","",A386&amp;"-"&amp;TEXT(C386,"yyyymmdd"))</f>
        <v/>
      </c>
    </row>
    <row r="387">
      <c r="B387">
        <f>IFERROR(INDEX(TablaDeportistas[primerApellido],MATCH(A387,TablaDeportistas[ID_Deportista],0))&amp;" "&amp;INDEX(TablaDeportistas[nombres],MATCH(A387,TablaDeportistas[ID_Deportista],0)),"")</f>
        <v/>
      </c>
      <c r="Z387">
        <f>IF(OR(I387="",J387=""),"",ROUND(I387/((J387/100)^2),2))</f>
        <v/>
      </c>
      <c r="AA387">
        <f>IF(I387="","",ROUND(IF(K387="",0,K387)+IF(L387="",0,L387)+IF(O387="",0,O387)+IF(P387="",0,P387)+IF(Q387="",0,Q387)+IF(R387="",0,R387),1))</f>
        <v/>
      </c>
      <c r="AB387">
        <f>IF(I387="","",ROUND(IF(K387="",0,K387)+IF(L387="",0,L387)+IF(M387="",0,M387)+IF(N387="",0,N387)+IF(O387="",0,O387)+IF(P387="",0,P387)+IF(Q387="",0,Q387)+IF(R387="",0,R387),1))</f>
        <v/>
      </c>
      <c r="AD387">
        <f>IF(A387="","",A387&amp;"-"&amp;TEXT(C387,"yyyymmdd"))</f>
        <v/>
      </c>
    </row>
    <row r="388">
      <c r="B388">
        <f>IFERROR(INDEX(TablaDeportistas[primerApellido],MATCH(A388,TablaDeportistas[ID_Deportista],0))&amp;" "&amp;INDEX(TablaDeportistas[nombres],MATCH(A388,TablaDeportistas[ID_Deportista],0)),"")</f>
        <v/>
      </c>
      <c r="Z388">
        <f>IF(OR(I388="",J388=""),"",ROUND(I388/((J388/100)^2),2))</f>
        <v/>
      </c>
      <c r="AA388">
        <f>IF(I388="","",ROUND(IF(K388="",0,K388)+IF(L388="",0,L388)+IF(O388="",0,O388)+IF(P388="",0,P388)+IF(Q388="",0,Q388)+IF(R388="",0,R388),1))</f>
        <v/>
      </c>
      <c r="AB388">
        <f>IF(I388="","",ROUND(IF(K388="",0,K388)+IF(L388="",0,L388)+IF(M388="",0,M388)+IF(N388="",0,N388)+IF(O388="",0,O388)+IF(P388="",0,P388)+IF(Q388="",0,Q388)+IF(R388="",0,R388),1))</f>
        <v/>
      </c>
      <c r="AD388">
        <f>IF(A388="","",A388&amp;"-"&amp;TEXT(C388,"yyyymmdd"))</f>
        <v/>
      </c>
    </row>
    <row r="389">
      <c r="B389">
        <f>IFERROR(INDEX(TablaDeportistas[primerApellido],MATCH(A389,TablaDeportistas[ID_Deportista],0))&amp;" "&amp;INDEX(TablaDeportistas[nombres],MATCH(A389,TablaDeportistas[ID_Deportista],0)),"")</f>
        <v/>
      </c>
      <c r="Z389">
        <f>IF(OR(I389="",J389=""),"",ROUND(I389/((J389/100)^2),2))</f>
        <v/>
      </c>
      <c r="AA389">
        <f>IF(I389="","",ROUND(IF(K389="",0,K389)+IF(L389="",0,L389)+IF(O389="",0,O389)+IF(P389="",0,P389)+IF(Q389="",0,Q389)+IF(R389="",0,R389),1))</f>
        <v/>
      </c>
      <c r="AB389">
        <f>IF(I389="","",ROUND(IF(K389="",0,K389)+IF(L389="",0,L389)+IF(M389="",0,M389)+IF(N389="",0,N389)+IF(O389="",0,O389)+IF(P389="",0,P389)+IF(Q389="",0,Q389)+IF(R389="",0,R389),1))</f>
        <v/>
      </c>
      <c r="AD389">
        <f>IF(A389="","",A389&amp;"-"&amp;TEXT(C389,"yyyymmdd"))</f>
        <v/>
      </c>
    </row>
    <row r="390">
      <c r="B390">
        <f>IFERROR(INDEX(TablaDeportistas[primerApellido],MATCH(A390,TablaDeportistas[ID_Deportista],0))&amp;" "&amp;INDEX(TablaDeportistas[nombres],MATCH(A390,TablaDeportistas[ID_Deportista],0)),"")</f>
        <v/>
      </c>
      <c r="Z390">
        <f>IF(OR(I390="",J390=""),"",ROUND(I390/((J390/100)^2),2))</f>
        <v/>
      </c>
      <c r="AA390">
        <f>IF(I390="","",ROUND(IF(K390="",0,K390)+IF(L390="",0,L390)+IF(O390="",0,O390)+IF(P390="",0,P390)+IF(Q390="",0,Q390)+IF(R390="",0,R390),1))</f>
        <v/>
      </c>
      <c r="AB390">
        <f>IF(I390="","",ROUND(IF(K390="",0,K390)+IF(L390="",0,L390)+IF(M390="",0,M390)+IF(N390="",0,N390)+IF(O390="",0,O390)+IF(P390="",0,P390)+IF(Q390="",0,Q390)+IF(R390="",0,R390),1))</f>
        <v/>
      </c>
      <c r="AD390">
        <f>IF(A390="","",A390&amp;"-"&amp;TEXT(C390,"yyyymmdd"))</f>
        <v/>
      </c>
    </row>
    <row r="391">
      <c r="B391">
        <f>IFERROR(INDEX(TablaDeportistas[primerApellido],MATCH(A391,TablaDeportistas[ID_Deportista],0))&amp;" "&amp;INDEX(TablaDeportistas[nombres],MATCH(A391,TablaDeportistas[ID_Deportista],0)),"")</f>
        <v/>
      </c>
      <c r="Z391">
        <f>IF(OR(I391="",J391=""),"",ROUND(I391/((J391/100)^2),2))</f>
        <v/>
      </c>
      <c r="AA391">
        <f>IF(I391="","",ROUND(IF(K391="",0,K391)+IF(L391="",0,L391)+IF(O391="",0,O391)+IF(P391="",0,P391)+IF(Q391="",0,Q391)+IF(R391="",0,R391),1))</f>
        <v/>
      </c>
      <c r="AB391">
        <f>IF(I391="","",ROUND(IF(K391="",0,K391)+IF(L391="",0,L391)+IF(M391="",0,M391)+IF(N391="",0,N391)+IF(O391="",0,O391)+IF(P391="",0,P391)+IF(Q391="",0,Q391)+IF(R391="",0,R391),1))</f>
        <v/>
      </c>
      <c r="AD391">
        <f>IF(A391="","",A391&amp;"-"&amp;TEXT(C391,"yyyymmdd"))</f>
        <v/>
      </c>
    </row>
    <row r="392">
      <c r="B392">
        <f>IFERROR(INDEX(TablaDeportistas[primerApellido],MATCH(A392,TablaDeportistas[ID_Deportista],0))&amp;" "&amp;INDEX(TablaDeportistas[nombres],MATCH(A392,TablaDeportistas[ID_Deportista],0)),"")</f>
        <v/>
      </c>
      <c r="Z392">
        <f>IF(OR(I392="",J392=""),"",ROUND(I392/((J392/100)^2),2))</f>
        <v/>
      </c>
      <c r="AA392">
        <f>IF(I392="","",ROUND(IF(K392="",0,K392)+IF(L392="",0,L392)+IF(O392="",0,O392)+IF(P392="",0,P392)+IF(Q392="",0,Q392)+IF(R392="",0,R392),1))</f>
        <v/>
      </c>
      <c r="AB392">
        <f>IF(I392="","",ROUND(IF(K392="",0,K392)+IF(L392="",0,L392)+IF(M392="",0,M392)+IF(N392="",0,N392)+IF(O392="",0,O392)+IF(P392="",0,P392)+IF(Q392="",0,Q392)+IF(R392="",0,R392),1))</f>
        <v/>
      </c>
      <c r="AD392">
        <f>IF(A392="","",A392&amp;"-"&amp;TEXT(C392,"yyyymmdd"))</f>
        <v/>
      </c>
    </row>
    <row r="393">
      <c r="B393">
        <f>IFERROR(INDEX(TablaDeportistas[primerApellido],MATCH(A393,TablaDeportistas[ID_Deportista],0))&amp;" "&amp;INDEX(TablaDeportistas[nombres],MATCH(A393,TablaDeportistas[ID_Deportista],0)),"")</f>
        <v/>
      </c>
      <c r="Z393">
        <f>IF(OR(I393="",J393=""),"",ROUND(I393/((J393/100)^2),2))</f>
        <v/>
      </c>
      <c r="AA393">
        <f>IF(I393="","",ROUND(IF(K393="",0,K393)+IF(L393="",0,L393)+IF(O393="",0,O393)+IF(P393="",0,P393)+IF(Q393="",0,Q393)+IF(R393="",0,R393),1))</f>
        <v/>
      </c>
      <c r="AB393">
        <f>IF(I393="","",ROUND(IF(K393="",0,K393)+IF(L393="",0,L393)+IF(M393="",0,M393)+IF(N393="",0,N393)+IF(O393="",0,O393)+IF(P393="",0,P393)+IF(Q393="",0,Q393)+IF(R393="",0,R393),1))</f>
        <v/>
      </c>
      <c r="AD393">
        <f>IF(A393="","",A393&amp;"-"&amp;TEXT(C393,"yyyymmdd"))</f>
        <v/>
      </c>
    </row>
    <row r="394">
      <c r="B394">
        <f>IFERROR(INDEX(TablaDeportistas[primerApellido],MATCH(A394,TablaDeportistas[ID_Deportista],0))&amp;" "&amp;INDEX(TablaDeportistas[nombres],MATCH(A394,TablaDeportistas[ID_Deportista],0)),"")</f>
        <v/>
      </c>
      <c r="Z394">
        <f>IF(OR(I394="",J394=""),"",ROUND(I394/((J394/100)^2),2))</f>
        <v/>
      </c>
      <c r="AA394">
        <f>IF(I394="","",ROUND(IF(K394="",0,K394)+IF(L394="",0,L394)+IF(O394="",0,O394)+IF(P394="",0,P394)+IF(Q394="",0,Q394)+IF(R394="",0,R394),1))</f>
        <v/>
      </c>
      <c r="AB394">
        <f>IF(I394="","",ROUND(IF(K394="",0,K394)+IF(L394="",0,L394)+IF(M394="",0,M394)+IF(N394="",0,N394)+IF(O394="",0,O394)+IF(P394="",0,P394)+IF(Q394="",0,Q394)+IF(R394="",0,R394),1))</f>
        <v/>
      </c>
      <c r="AD394">
        <f>IF(A394="","",A394&amp;"-"&amp;TEXT(C394,"yyyymmdd"))</f>
        <v/>
      </c>
    </row>
    <row r="395">
      <c r="B395">
        <f>IFERROR(INDEX(TablaDeportistas[primerApellido],MATCH(A395,TablaDeportistas[ID_Deportista],0))&amp;" "&amp;INDEX(TablaDeportistas[nombres],MATCH(A395,TablaDeportistas[ID_Deportista],0)),"")</f>
        <v/>
      </c>
      <c r="Z395">
        <f>IF(OR(I395="",J395=""),"",ROUND(I395/((J395/100)^2),2))</f>
        <v/>
      </c>
      <c r="AA395">
        <f>IF(I395="","",ROUND(IF(K395="",0,K395)+IF(L395="",0,L395)+IF(O395="",0,O395)+IF(P395="",0,P395)+IF(Q395="",0,Q395)+IF(R395="",0,R395),1))</f>
        <v/>
      </c>
      <c r="AB395">
        <f>IF(I395="","",ROUND(IF(K395="",0,K395)+IF(L395="",0,L395)+IF(M395="",0,M395)+IF(N395="",0,N395)+IF(O395="",0,O395)+IF(P395="",0,P395)+IF(Q395="",0,Q395)+IF(R395="",0,R395),1))</f>
        <v/>
      </c>
      <c r="AD395">
        <f>IF(A395="","",A395&amp;"-"&amp;TEXT(C395,"yyyymmdd"))</f>
        <v/>
      </c>
    </row>
    <row r="396">
      <c r="B396">
        <f>IFERROR(INDEX(TablaDeportistas[primerApellido],MATCH(A396,TablaDeportistas[ID_Deportista],0))&amp;" "&amp;INDEX(TablaDeportistas[nombres],MATCH(A396,TablaDeportistas[ID_Deportista],0)),"")</f>
        <v/>
      </c>
      <c r="Z396">
        <f>IF(OR(I396="",J396=""),"",ROUND(I396/((J396/100)^2),2))</f>
        <v/>
      </c>
      <c r="AA396">
        <f>IF(I396="","",ROUND(IF(K396="",0,K396)+IF(L396="",0,L396)+IF(O396="",0,O396)+IF(P396="",0,P396)+IF(Q396="",0,Q396)+IF(R396="",0,R396),1))</f>
        <v/>
      </c>
      <c r="AB396">
        <f>IF(I396="","",ROUND(IF(K396="",0,K396)+IF(L396="",0,L396)+IF(M396="",0,M396)+IF(N396="",0,N396)+IF(O396="",0,O396)+IF(P396="",0,P396)+IF(Q396="",0,Q396)+IF(R396="",0,R396),1))</f>
        <v/>
      </c>
      <c r="AD396">
        <f>IF(A396="","",A396&amp;"-"&amp;TEXT(C396,"yyyymmdd"))</f>
        <v/>
      </c>
    </row>
    <row r="397">
      <c r="B397">
        <f>IFERROR(INDEX(TablaDeportistas[primerApellido],MATCH(A397,TablaDeportistas[ID_Deportista],0))&amp;" "&amp;INDEX(TablaDeportistas[nombres],MATCH(A397,TablaDeportistas[ID_Deportista],0)),"")</f>
        <v/>
      </c>
      <c r="Z397">
        <f>IF(OR(I397="",J397=""),"",ROUND(I397/((J397/100)^2),2))</f>
        <v/>
      </c>
      <c r="AA397">
        <f>IF(I397="","",ROUND(IF(K397="",0,K397)+IF(L397="",0,L397)+IF(O397="",0,O397)+IF(P397="",0,P397)+IF(Q397="",0,Q397)+IF(R397="",0,R397),1))</f>
        <v/>
      </c>
      <c r="AB397">
        <f>IF(I397="","",ROUND(IF(K397="",0,K397)+IF(L397="",0,L397)+IF(M397="",0,M397)+IF(N397="",0,N397)+IF(O397="",0,O397)+IF(P397="",0,P397)+IF(Q397="",0,Q397)+IF(R397="",0,R397),1))</f>
        <v/>
      </c>
      <c r="AD397">
        <f>IF(A397="","",A397&amp;"-"&amp;TEXT(C397,"yyyymmdd"))</f>
        <v/>
      </c>
    </row>
    <row r="398">
      <c r="B398">
        <f>IFERROR(INDEX(TablaDeportistas[primerApellido],MATCH(A398,TablaDeportistas[ID_Deportista],0))&amp;" "&amp;INDEX(TablaDeportistas[nombres],MATCH(A398,TablaDeportistas[ID_Deportista],0)),"")</f>
        <v/>
      </c>
      <c r="Z398">
        <f>IF(OR(I398="",J398=""),"",ROUND(I398/((J398/100)^2),2))</f>
        <v/>
      </c>
      <c r="AA398">
        <f>IF(I398="","",ROUND(IF(K398="",0,K398)+IF(L398="",0,L398)+IF(O398="",0,O398)+IF(P398="",0,P398)+IF(Q398="",0,Q398)+IF(R398="",0,R398),1))</f>
        <v/>
      </c>
      <c r="AB398">
        <f>IF(I398="","",ROUND(IF(K398="",0,K398)+IF(L398="",0,L398)+IF(M398="",0,M398)+IF(N398="",0,N398)+IF(O398="",0,O398)+IF(P398="",0,P398)+IF(Q398="",0,Q398)+IF(R398="",0,R398),1))</f>
        <v/>
      </c>
      <c r="AD398">
        <f>IF(A398="","",A398&amp;"-"&amp;TEXT(C398,"yyyymmdd"))</f>
        <v/>
      </c>
    </row>
    <row r="399">
      <c r="B399">
        <f>IFERROR(INDEX(TablaDeportistas[primerApellido],MATCH(A399,TablaDeportistas[ID_Deportista],0))&amp;" "&amp;INDEX(TablaDeportistas[nombres],MATCH(A399,TablaDeportistas[ID_Deportista],0)),"")</f>
        <v/>
      </c>
      <c r="Z399">
        <f>IF(OR(I399="",J399=""),"",ROUND(I399/((J399/100)^2),2))</f>
        <v/>
      </c>
      <c r="AA399">
        <f>IF(I399="","",ROUND(IF(K399="",0,K399)+IF(L399="",0,L399)+IF(O399="",0,O399)+IF(P399="",0,P399)+IF(Q399="",0,Q399)+IF(R399="",0,R399),1))</f>
        <v/>
      </c>
      <c r="AB399">
        <f>IF(I399="","",ROUND(IF(K399="",0,K399)+IF(L399="",0,L399)+IF(M399="",0,M399)+IF(N399="",0,N399)+IF(O399="",0,O399)+IF(P399="",0,P399)+IF(Q399="",0,Q399)+IF(R399="",0,R399),1))</f>
        <v/>
      </c>
      <c r="AD399">
        <f>IF(A399="","",A399&amp;"-"&amp;TEXT(C399,"yyyymmdd"))</f>
        <v/>
      </c>
    </row>
    <row r="400">
      <c r="B400">
        <f>IFERROR(INDEX(TablaDeportistas[primerApellido],MATCH(A400,TablaDeportistas[ID_Deportista],0))&amp;" "&amp;INDEX(TablaDeportistas[nombres],MATCH(A400,TablaDeportistas[ID_Deportista],0)),"")</f>
        <v/>
      </c>
      <c r="Z400">
        <f>IF(OR(I400="",J400=""),"",ROUND(I400/((J400/100)^2),2))</f>
        <v/>
      </c>
      <c r="AA400">
        <f>IF(I400="","",ROUND(IF(K400="",0,K400)+IF(L400="",0,L400)+IF(O400="",0,O400)+IF(P400="",0,P400)+IF(Q400="",0,Q400)+IF(R400="",0,R400),1))</f>
        <v/>
      </c>
      <c r="AB400">
        <f>IF(I400="","",ROUND(IF(K400="",0,K400)+IF(L400="",0,L400)+IF(M400="",0,M400)+IF(N400="",0,N400)+IF(O400="",0,O400)+IF(P400="",0,P400)+IF(Q400="",0,Q400)+IF(R400="",0,R400),1))</f>
        <v/>
      </c>
      <c r="AD400">
        <f>IF(A400="","",A400&amp;"-"&amp;TEXT(C400,"yyyymmdd"))</f>
        <v/>
      </c>
    </row>
    <row r="401">
      <c r="B401">
        <f>IFERROR(INDEX(TablaDeportistas[primerApellido],MATCH(A401,TablaDeportistas[ID_Deportista],0))&amp;" "&amp;INDEX(TablaDeportistas[nombres],MATCH(A401,TablaDeportistas[ID_Deportista],0)),"")</f>
        <v/>
      </c>
      <c r="Z401">
        <f>IF(OR(I401="",J401=""),"",ROUND(I401/((J401/100)^2),2))</f>
        <v/>
      </c>
      <c r="AA401">
        <f>IF(I401="","",ROUND(IF(K401="",0,K401)+IF(L401="",0,L401)+IF(O401="",0,O401)+IF(P401="",0,P401)+IF(Q401="",0,Q401)+IF(R401="",0,R401),1))</f>
        <v/>
      </c>
      <c r="AB401">
        <f>IF(I401="","",ROUND(IF(K401="",0,K401)+IF(L401="",0,L401)+IF(M401="",0,M401)+IF(N401="",0,N401)+IF(O401="",0,O401)+IF(P401="",0,P401)+IF(Q401="",0,Q401)+IF(R401="",0,R401),1))</f>
        <v/>
      </c>
      <c r="AD401">
        <f>IF(A401="","",A401&amp;"-"&amp;TEXT(C401,"yyyymmdd"))</f>
        <v/>
      </c>
    </row>
    <row r="402">
      <c r="B402">
        <f>IFERROR(INDEX(TablaDeportistas[primerApellido],MATCH(A402,TablaDeportistas[ID_Deportista],0))&amp;" "&amp;INDEX(TablaDeportistas[nombres],MATCH(A402,TablaDeportistas[ID_Deportista],0)),"")</f>
        <v/>
      </c>
      <c r="Z402">
        <f>IF(OR(I402="",J402=""),"",ROUND(I402/((J402/100)^2),2))</f>
        <v/>
      </c>
      <c r="AA402">
        <f>IF(I402="","",ROUND(IF(K402="",0,K402)+IF(L402="",0,L402)+IF(O402="",0,O402)+IF(P402="",0,P402)+IF(Q402="",0,Q402)+IF(R402="",0,R402),1))</f>
        <v/>
      </c>
      <c r="AB402">
        <f>IF(I402="","",ROUND(IF(K402="",0,K402)+IF(L402="",0,L402)+IF(M402="",0,M402)+IF(N402="",0,N402)+IF(O402="",0,O402)+IF(P402="",0,P402)+IF(Q402="",0,Q402)+IF(R402="",0,R402),1))</f>
        <v/>
      </c>
      <c r="AD402">
        <f>IF(A402="","",A402&amp;"-"&amp;TEXT(C402,"yyyymmdd"))</f>
        <v/>
      </c>
    </row>
    <row r="403">
      <c r="B403">
        <f>IFERROR(INDEX(TablaDeportistas[primerApellido],MATCH(A403,TablaDeportistas[ID_Deportista],0))&amp;" "&amp;INDEX(TablaDeportistas[nombres],MATCH(A403,TablaDeportistas[ID_Deportista],0)),"")</f>
        <v/>
      </c>
      <c r="Z403">
        <f>IF(OR(I403="",J403=""),"",ROUND(I403/((J403/100)^2),2))</f>
        <v/>
      </c>
      <c r="AA403">
        <f>IF(I403="","",ROUND(IF(K403="",0,K403)+IF(L403="",0,L403)+IF(O403="",0,O403)+IF(P403="",0,P403)+IF(Q403="",0,Q403)+IF(R403="",0,R403),1))</f>
        <v/>
      </c>
      <c r="AB403">
        <f>IF(I403="","",ROUND(IF(K403="",0,K403)+IF(L403="",0,L403)+IF(M403="",0,M403)+IF(N403="",0,N403)+IF(O403="",0,O403)+IF(P403="",0,P403)+IF(Q403="",0,Q403)+IF(R403="",0,R403),1))</f>
        <v/>
      </c>
      <c r="AD403">
        <f>IF(A403="","",A403&amp;"-"&amp;TEXT(C403,"yyyymmdd"))</f>
        <v/>
      </c>
    </row>
    <row r="404">
      <c r="B404">
        <f>IFERROR(INDEX(TablaDeportistas[primerApellido],MATCH(A404,TablaDeportistas[ID_Deportista],0))&amp;" "&amp;INDEX(TablaDeportistas[nombres],MATCH(A404,TablaDeportistas[ID_Deportista],0)),"")</f>
        <v/>
      </c>
      <c r="Z404">
        <f>IF(OR(I404="",J404=""),"",ROUND(I404/((J404/100)^2),2))</f>
        <v/>
      </c>
      <c r="AA404">
        <f>IF(I404="","",ROUND(IF(K404="",0,K404)+IF(L404="",0,L404)+IF(O404="",0,O404)+IF(P404="",0,P404)+IF(Q404="",0,Q404)+IF(R404="",0,R404),1))</f>
        <v/>
      </c>
      <c r="AB404">
        <f>IF(I404="","",ROUND(IF(K404="",0,K404)+IF(L404="",0,L404)+IF(M404="",0,M404)+IF(N404="",0,N404)+IF(O404="",0,O404)+IF(P404="",0,P404)+IF(Q404="",0,Q404)+IF(R404="",0,R404),1))</f>
        <v/>
      </c>
      <c r="AD404">
        <f>IF(A404="","",A404&amp;"-"&amp;TEXT(C404,"yyyymmdd"))</f>
        <v/>
      </c>
    </row>
    <row r="405">
      <c r="B405">
        <f>IFERROR(INDEX(TablaDeportistas[primerApellido],MATCH(A405,TablaDeportistas[ID_Deportista],0))&amp;" "&amp;INDEX(TablaDeportistas[nombres],MATCH(A405,TablaDeportistas[ID_Deportista],0)),"")</f>
        <v/>
      </c>
      <c r="Z405">
        <f>IF(OR(I405="",J405=""),"",ROUND(I405/((J405/100)^2),2))</f>
        <v/>
      </c>
      <c r="AA405">
        <f>IF(I405="","",ROUND(IF(K405="",0,K405)+IF(L405="",0,L405)+IF(O405="",0,O405)+IF(P405="",0,P405)+IF(Q405="",0,Q405)+IF(R405="",0,R405),1))</f>
        <v/>
      </c>
      <c r="AB405">
        <f>IF(I405="","",ROUND(IF(K405="",0,K405)+IF(L405="",0,L405)+IF(M405="",0,M405)+IF(N405="",0,N405)+IF(O405="",0,O405)+IF(P405="",0,P405)+IF(Q405="",0,Q405)+IF(R405="",0,R405),1))</f>
        <v/>
      </c>
      <c r="AD405">
        <f>IF(A405="","",A405&amp;"-"&amp;TEXT(C405,"yyyymmdd"))</f>
        <v/>
      </c>
    </row>
    <row r="406">
      <c r="B406">
        <f>IFERROR(INDEX(TablaDeportistas[primerApellido],MATCH(A406,TablaDeportistas[ID_Deportista],0))&amp;" "&amp;INDEX(TablaDeportistas[nombres],MATCH(A406,TablaDeportistas[ID_Deportista],0)),"")</f>
        <v/>
      </c>
      <c r="Z406">
        <f>IF(OR(I406="",J406=""),"",ROUND(I406/((J406/100)^2),2))</f>
        <v/>
      </c>
      <c r="AA406">
        <f>IF(I406="","",ROUND(IF(K406="",0,K406)+IF(L406="",0,L406)+IF(O406="",0,O406)+IF(P406="",0,P406)+IF(Q406="",0,Q406)+IF(R406="",0,R406),1))</f>
        <v/>
      </c>
      <c r="AB406">
        <f>IF(I406="","",ROUND(IF(K406="",0,K406)+IF(L406="",0,L406)+IF(M406="",0,M406)+IF(N406="",0,N406)+IF(O406="",0,O406)+IF(P406="",0,P406)+IF(Q406="",0,Q406)+IF(R406="",0,R406),1))</f>
        <v/>
      </c>
      <c r="AD406">
        <f>IF(A406="","",A406&amp;"-"&amp;TEXT(C406,"yyyymmdd"))</f>
        <v/>
      </c>
    </row>
    <row r="407">
      <c r="B407">
        <f>IFERROR(INDEX(TablaDeportistas[primerApellido],MATCH(A407,TablaDeportistas[ID_Deportista],0))&amp;" "&amp;INDEX(TablaDeportistas[nombres],MATCH(A407,TablaDeportistas[ID_Deportista],0)),"")</f>
        <v/>
      </c>
      <c r="Z407">
        <f>IF(OR(I407="",J407=""),"",ROUND(I407/((J407/100)^2),2))</f>
        <v/>
      </c>
      <c r="AA407">
        <f>IF(I407="","",ROUND(IF(K407="",0,K407)+IF(L407="",0,L407)+IF(O407="",0,O407)+IF(P407="",0,P407)+IF(Q407="",0,Q407)+IF(R407="",0,R407),1))</f>
        <v/>
      </c>
      <c r="AB407">
        <f>IF(I407="","",ROUND(IF(K407="",0,K407)+IF(L407="",0,L407)+IF(M407="",0,M407)+IF(N407="",0,N407)+IF(O407="",0,O407)+IF(P407="",0,P407)+IF(Q407="",0,Q407)+IF(R407="",0,R407),1))</f>
        <v/>
      </c>
      <c r="AD407">
        <f>IF(A407="","",A407&amp;"-"&amp;TEXT(C407,"yyyymmdd"))</f>
        <v/>
      </c>
    </row>
    <row r="408">
      <c r="B408">
        <f>IFERROR(INDEX(TablaDeportistas[primerApellido],MATCH(A408,TablaDeportistas[ID_Deportista],0))&amp;" "&amp;INDEX(TablaDeportistas[nombres],MATCH(A408,TablaDeportistas[ID_Deportista],0)),"")</f>
        <v/>
      </c>
      <c r="Z408">
        <f>IF(OR(I408="",J408=""),"",ROUND(I408/((J408/100)^2),2))</f>
        <v/>
      </c>
      <c r="AA408">
        <f>IF(I408="","",ROUND(IF(K408="",0,K408)+IF(L408="",0,L408)+IF(O408="",0,O408)+IF(P408="",0,P408)+IF(Q408="",0,Q408)+IF(R408="",0,R408),1))</f>
        <v/>
      </c>
      <c r="AB408">
        <f>IF(I408="","",ROUND(IF(K408="",0,K408)+IF(L408="",0,L408)+IF(M408="",0,M408)+IF(N408="",0,N408)+IF(O408="",0,O408)+IF(P408="",0,P408)+IF(Q408="",0,Q408)+IF(R408="",0,R408),1))</f>
        <v/>
      </c>
      <c r="AD408">
        <f>IF(A408="","",A408&amp;"-"&amp;TEXT(C408,"yyyymmdd"))</f>
        <v/>
      </c>
    </row>
    <row r="409">
      <c r="B409">
        <f>IFERROR(INDEX(TablaDeportistas[primerApellido],MATCH(A409,TablaDeportistas[ID_Deportista],0))&amp;" "&amp;INDEX(TablaDeportistas[nombres],MATCH(A409,TablaDeportistas[ID_Deportista],0)),"")</f>
        <v/>
      </c>
      <c r="Z409">
        <f>IF(OR(I409="",J409=""),"",ROUND(I409/((J409/100)^2),2))</f>
        <v/>
      </c>
      <c r="AA409">
        <f>IF(I409="","",ROUND(IF(K409="",0,K409)+IF(L409="",0,L409)+IF(O409="",0,O409)+IF(P409="",0,P409)+IF(Q409="",0,Q409)+IF(R409="",0,R409),1))</f>
        <v/>
      </c>
      <c r="AB409">
        <f>IF(I409="","",ROUND(IF(K409="",0,K409)+IF(L409="",0,L409)+IF(M409="",0,M409)+IF(N409="",0,N409)+IF(O409="",0,O409)+IF(P409="",0,P409)+IF(Q409="",0,Q409)+IF(R409="",0,R409),1))</f>
        <v/>
      </c>
      <c r="AD409">
        <f>IF(A409="","",A409&amp;"-"&amp;TEXT(C409,"yyyymmdd"))</f>
        <v/>
      </c>
    </row>
    <row r="410">
      <c r="B410">
        <f>IFERROR(INDEX(TablaDeportistas[primerApellido],MATCH(A410,TablaDeportistas[ID_Deportista],0))&amp;" "&amp;INDEX(TablaDeportistas[nombres],MATCH(A410,TablaDeportistas[ID_Deportista],0)),"")</f>
        <v/>
      </c>
      <c r="Z410">
        <f>IF(OR(I410="",J410=""),"",ROUND(I410/((J410/100)^2),2))</f>
        <v/>
      </c>
      <c r="AA410">
        <f>IF(I410="","",ROUND(IF(K410="",0,K410)+IF(L410="",0,L410)+IF(O410="",0,O410)+IF(P410="",0,P410)+IF(Q410="",0,Q410)+IF(R410="",0,R410),1))</f>
        <v/>
      </c>
      <c r="AB410">
        <f>IF(I410="","",ROUND(IF(K410="",0,K410)+IF(L410="",0,L410)+IF(M410="",0,M410)+IF(N410="",0,N410)+IF(O410="",0,O410)+IF(P410="",0,P410)+IF(Q410="",0,Q410)+IF(R410="",0,R410),1))</f>
        <v/>
      </c>
      <c r="AD410">
        <f>IF(A410="","",A410&amp;"-"&amp;TEXT(C410,"yyyymmdd"))</f>
        <v/>
      </c>
    </row>
    <row r="411">
      <c r="B411">
        <f>IFERROR(INDEX(TablaDeportistas[primerApellido],MATCH(A411,TablaDeportistas[ID_Deportista],0))&amp;" "&amp;INDEX(TablaDeportistas[nombres],MATCH(A411,TablaDeportistas[ID_Deportista],0)),"")</f>
        <v/>
      </c>
      <c r="Z411">
        <f>IF(OR(I411="",J411=""),"",ROUND(I411/((J411/100)^2),2))</f>
        <v/>
      </c>
      <c r="AA411">
        <f>IF(I411="","",ROUND(IF(K411="",0,K411)+IF(L411="",0,L411)+IF(O411="",0,O411)+IF(P411="",0,P411)+IF(Q411="",0,Q411)+IF(R411="",0,R411),1))</f>
        <v/>
      </c>
      <c r="AB411">
        <f>IF(I411="","",ROUND(IF(K411="",0,K411)+IF(L411="",0,L411)+IF(M411="",0,M411)+IF(N411="",0,N411)+IF(O411="",0,O411)+IF(P411="",0,P411)+IF(Q411="",0,Q411)+IF(R411="",0,R411),1))</f>
        <v/>
      </c>
      <c r="AD411">
        <f>IF(A411="","",A411&amp;"-"&amp;TEXT(C411,"yyyymmdd"))</f>
        <v/>
      </c>
    </row>
    <row r="412">
      <c r="B412">
        <f>IFERROR(INDEX(TablaDeportistas[primerApellido],MATCH(A412,TablaDeportistas[ID_Deportista],0))&amp;" "&amp;INDEX(TablaDeportistas[nombres],MATCH(A412,TablaDeportistas[ID_Deportista],0)),"")</f>
        <v/>
      </c>
      <c r="Z412">
        <f>IF(OR(I412="",J412=""),"",ROUND(I412/((J412/100)^2),2))</f>
        <v/>
      </c>
      <c r="AA412">
        <f>IF(I412="","",ROUND(IF(K412="",0,K412)+IF(L412="",0,L412)+IF(O412="",0,O412)+IF(P412="",0,P412)+IF(Q412="",0,Q412)+IF(R412="",0,R412),1))</f>
        <v/>
      </c>
      <c r="AB412">
        <f>IF(I412="","",ROUND(IF(K412="",0,K412)+IF(L412="",0,L412)+IF(M412="",0,M412)+IF(N412="",0,N412)+IF(O412="",0,O412)+IF(P412="",0,P412)+IF(Q412="",0,Q412)+IF(R412="",0,R412),1))</f>
        <v/>
      </c>
      <c r="AD412">
        <f>IF(A412="","",A412&amp;"-"&amp;TEXT(C412,"yyyymmdd"))</f>
        <v/>
      </c>
    </row>
    <row r="413">
      <c r="B413">
        <f>IFERROR(INDEX(TablaDeportistas[primerApellido],MATCH(A413,TablaDeportistas[ID_Deportista],0))&amp;" "&amp;INDEX(TablaDeportistas[nombres],MATCH(A413,TablaDeportistas[ID_Deportista],0)),"")</f>
        <v/>
      </c>
      <c r="Z413">
        <f>IF(OR(I413="",J413=""),"",ROUND(I413/((J413/100)^2),2))</f>
        <v/>
      </c>
      <c r="AA413">
        <f>IF(I413="","",ROUND(IF(K413="",0,K413)+IF(L413="",0,L413)+IF(O413="",0,O413)+IF(P413="",0,P413)+IF(Q413="",0,Q413)+IF(R413="",0,R413),1))</f>
        <v/>
      </c>
      <c r="AB413">
        <f>IF(I413="","",ROUND(IF(K413="",0,K413)+IF(L413="",0,L413)+IF(M413="",0,M413)+IF(N413="",0,N413)+IF(O413="",0,O413)+IF(P413="",0,P413)+IF(Q413="",0,Q413)+IF(R413="",0,R413),1))</f>
        <v/>
      </c>
      <c r="AD413">
        <f>IF(A413="","",A413&amp;"-"&amp;TEXT(C413,"yyyymmdd"))</f>
        <v/>
      </c>
    </row>
    <row r="414">
      <c r="B414">
        <f>IFERROR(INDEX(TablaDeportistas[primerApellido],MATCH(A414,TablaDeportistas[ID_Deportista],0))&amp;" "&amp;INDEX(TablaDeportistas[nombres],MATCH(A414,TablaDeportistas[ID_Deportista],0)),"")</f>
        <v/>
      </c>
      <c r="Z414">
        <f>IF(OR(I414="",J414=""),"",ROUND(I414/((J414/100)^2),2))</f>
        <v/>
      </c>
      <c r="AA414">
        <f>IF(I414="","",ROUND(IF(K414="",0,K414)+IF(L414="",0,L414)+IF(O414="",0,O414)+IF(P414="",0,P414)+IF(Q414="",0,Q414)+IF(R414="",0,R414),1))</f>
        <v/>
      </c>
      <c r="AB414">
        <f>IF(I414="","",ROUND(IF(K414="",0,K414)+IF(L414="",0,L414)+IF(M414="",0,M414)+IF(N414="",0,N414)+IF(O414="",0,O414)+IF(P414="",0,P414)+IF(Q414="",0,Q414)+IF(R414="",0,R414),1))</f>
        <v/>
      </c>
      <c r="AD414">
        <f>IF(A414="","",A414&amp;"-"&amp;TEXT(C414,"yyyymmdd"))</f>
        <v/>
      </c>
    </row>
    <row r="415">
      <c r="B415">
        <f>IFERROR(INDEX(TablaDeportistas[primerApellido],MATCH(A415,TablaDeportistas[ID_Deportista],0))&amp;" "&amp;INDEX(TablaDeportistas[nombres],MATCH(A415,TablaDeportistas[ID_Deportista],0)),"")</f>
        <v/>
      </c>
      <c r="Z415">
        <f>IF(OR(I415="",J415=""),"",ROUND(I415/((J415/100)^2),2))</f>
        <v/>
      </c>
      <c r="AA415">
        <f>IF(I415="","",ROUND(IF(K415="",0,K415)+IF(L415="",0,L415)+IF(O415="",0,O415)+IF(P415="",0,P415)+IF(Q415="",0,Q415)+IF(R415="",0,R415),1))</f>
        <v/>
      </c>
      <c r="AB415">
        <f>IF(I415="","",ROUND(IF(K415="",0,K415)+IF(L415="",0,L415)+IF(M415="",0,M415)+IF(N415="",0,N415)+IF(O415="",0,O415)+IF(P415="",0,P415)+IF(Q415="",0,Q415)+IF(R415="",0,R415),1))</f>
        <v/>
      </c>
      <c r="AD415">
        <f>IF(A415="","",A415&amp;"-"&amp;TEXT(C415,"yyyymmdd"))</f>
        <v/>
      </c>
    </row>
    <row r="416">
      <c r="B416">
        <f>IFERROR(INDEX(TablaDeportistas[primerApellido],MATCH(A416,TablaDeportistas[ID_Deportista],0))&amp;" "&amp;INDEX(TablaDeportistas[nombres],MATCH(A416,TablaDeportistas[ID_Deportista],0)),"")</f>
        <v/>
      </c>
      <c r="Z416">
        <f>IF(OR(I416="",J416=""),"",ROUND(I416/((J416/100)^2),2))</f>
        <v/>
      </c>
      <c r="AA416">
        <f>IF(I416="","",ROUND(IF(K416="",0,K416)+IF(L416="",0,L416)+IF(O416="",0,O416)+IF(P416="",0,P416)+IF(Q416="",0,Q416)+IF(R416="",0,R416),1))</f>
        <v/>
      </c>
      <c r="AB416">
        <f>IF(I416="","",ROUND(IF(K416="",0,K416)+IF(L416="",0,L416)+IF(M416="",0,M416)+IF(N416="",0,N416)+IF(O416="",0,O416)+IF(P416="",0,P416)+IF(Q416="",0,Q416)+IF(R416="",0,R416),1))</f>
        <v/>
      </c>
      <c r="AD416">
        <f>IF(A416="","",A416&amp;"-"&amp;TEXT(C416,"yyyymmdd"))</f>
        <v/>
      </c>
    </row>
    <row r="417">
      <c r="B417">
        <f>IFERROR(INDEX(TablaDeportistas[primerApellido],MATCH(A417,TablaDeportistas[ID_Deportista],0))&amp;" "&amp;INDEX(TablaDeportistas[nombres],MATCH(A417,TablaDeportistas[ID_Deportista],0)),"")</f>
        <v/>
      </c>
      <c r="Z417">
        <f>IF(OR(I417="",J417=""),"",ROUND(I417/((J417/100)^2),2))</f>
        <v/>
      </c>
      <c r="AA417">
        <f>IF(I417="","",ROUND(IF(K417="",0,K417)+IF(L417="",0,L417)+IF(O417="",0,O417)+IF(P417="",0,P417)+IF(Q417="",0,Q417)+IF(R417="",0,R417),1))</f>
        <v/>
      </c>
      <c r="AB417">
        <f>IF(I417="","",ROUND(IF(K417="",0,K417)+IF(L417="",0,L417)+IF(M417="",0,M417)+IF(N417="",0,N417)+IF(O417="",0,O417)+IF(P417="",0,P417)+IF(Q417="",0,Q417)+IF(R417="",0,R417),1))</f>
        <v/>
      </c>
      <c r="AD417">
        <f>IF(A417="","",A417&amp;"-"&amp;TEXT(C417,"yyyymmdd"))</f>
        <v/>
      </c>
    </row>
    <row r="418">
      <c r="B418">
        <f>IFERROR(INDEX(TablaDeportistas[primerApellido],MATCH(A418,TablaDeportistas[ID_Deportista],0))&amp;" "&amp;INDEX(TablaDeportistas[nombres],MATCH(A418,TablaDeportistas[ID_Deportista],0)),"")</f>
        <v/>
      </c>
      <c r="Z418">
        <f>IF(OR(I418="",J418=""),"",ROUND(I418/((J418/100)^2),2))</f>
        <v/>
      </c>
      <c r="AA418">
        <f>IF(I418="","",ROUND(IF(K418="",0,K418)+IF(L418="",0,L418)+IF(O418="",0,O418)+IF(P418="",0,P418)+IF(Q418="",0,Q418)+IF(R418="",0,R418),1))</f>
        <v/>
      </c>
      <c r="AB418">
        <f>IF(I418="","",ROUND(IF(K418="",0,K418)+IF(L418="",0,L418)+IF(M418="",0,M418)+IF(N418="",0,N418)+IF(O418="",0,O418)+IF(P418="",0,P418)+IF(Q418="",0,Q418)+IF(R418="",0,R418),1))</f>
        <v/>
      </c>
      <c r="AD418">
        <f>IF(A418="","",A418&amp;"-"&amp;TEXT(C418,"yyyymmdd"))</f>
        <v/>
      </c>
    </row>
    <row r="419">
      <c r="B419">
        <f>IFERROR(INDEX(TablaDeportistas[primerApellido],MATCH(A419,TablaDeportistas[ID_Deportista],0))&amp;" "&amp;INDEX(TablaDeportistas[nombres],MATCH(A419,TablaDeportistas[ID_Deportista],0)),"")</f>
        <v/>
      </c>
      <c r="Z419">
        <f>IF(OR(I419="",J419=""),"",ROUND(I419/((J419/100)^2),2))</f>
        <v/>
      </c>
      <c r="AA419">
        <f>IF(I419="","",ROUND(IF(K419="",0,K419)+IF(L419="",0,L419)+IF(O419="",0,O419)+IF(P419="",0,P419)+IF(Q419="",0,Q419)+IF(R419="",0,R419),1))</f>
        <v/>
      </c>
      <c r="AB419">
        <f>IF(I419="","",ROUND(IF(K419="",0,K419)+IF(L419="",0,L419)+IF(M419="",0,M419)+IF(N419="",0,N419)+IF(O419="",0,O419)+IF(P419="",0,P419)+IF(Q419="",0,Q419)+IF(R419="",0,R419),1))</f>
        <v/>
      </c>
      <c r="AD419">
        <f>IF(A419="","",A419&amp;"-"&amp;TEXT(C419,"yyyymmdd"))</f>
        <v/>
      </c>
    </row>
    <row r="420">
      <c r="B420">
        <f>IFERROR(INDEX(TablaDeportistas[primerApellido],MATCH(A420,TablaDeportistas[ID_Deportista],0))&amp;" "&amp;INDEX(TablaDeportistas[nombres],MATCH(A420,TablaDeportistas[ID_Deportista],0)),"")</f>
        <v/>
      </c>
      <c r="Z420">
        <f>IF(OR(I420="",J420=""),"",ROUND(I420/((J420/100)^2),2))</f>
        <v/>
      </c>
      <c r="AA420">
        <f>IF(I420="","",ROUND(IF(K420="",0,K420)+IF(L420="",0,L420)+IF(O420="",0,O420)+IF(P420="",0,P420)+IF(Q420="",0,Q420)+IF(R420="",0,R420),1))</f>
        <v/>
      </c>
      <c r="AB420">
        <f>IF(I420="","",ROUND(IF(K420="",0,K420)+IF(L420="",0,L420)+IF(M420="",0,M420)+IF(N420="",0,N420)+IF(O420="",0,O420)+IF(P420="",0,P420)+IF(Q420="",0,Q420)+IF(R420="",0,R420),1))</f>
        <v/>
      </c>
      <c r="AD420">
        <f>IF(A420="","",A420&amp;"-"&amp;TEXT(C420,"yyyymmdd"))</f>
        <v/>
      </c>
    </row>
    <row r="421">
      <c r="B421">
        <f>IFERROR(INDEX(TablaDeportistas[primerApellido],MATCH(A421,TablaDeportistas[ID_Deportista],0))&amp;" "&amp;INDEX(TablaDeportistas[nombres],MATCH(A421,TablaDeportistas[ID_Deportista],0)),"")</f>
        <v/>
      </c>
      <c r="Z421">
        <f>IF(OR(I421="",J421=""),"",ROUND(I421/((J421/100)^2),2))</f>
        <v/>
      </c>
      <c r="AA421">
        <f>IF(I421="","",ROUND(IF(K421="",0,K421)+IF(L421="",0,L421)+IF(O421="",0,O421)+IF(P421="",0,P421)+IF(Q421="",0,Q421)+IF(R421="",0,R421),1))</f>
        <v/>
      </c>
      <c r="AB421">
        <f>IF(I421="","",ROUND(IF(K421="",0,K421)+IF(L421="",0,L421)+IF(M421="",0,M421)+IF(N421="",0,N421)+IF(O421="",0,O421)+IF(P421="",0,P421)+IF(Q421="",0,Q421)+IF(R421="",0,R421),1))</f>
        <v/>
      </c>
      <c r="AD421">
        <f>IF(A421="","",A421&amp;"-"&amp;TEXT(C421,"yyyymmdd"))</f>
        <v/>
      </c>
    </row>
    <row r="422">
      <c r="B422">
        <f>IFERROR(INDEX(TablaDeportistas[primerApellido],MATCH(A422,TablaDeportistas[ID_Deportista],0))&amp;" "&amp;INDEX(TablaDeportistas[nombres],MATCH(A422,TablaDeportistas[ID_Deportista],0)),"")</f>
        <v/>
      </c>
      <c r="Z422">
        <f>IF(OR(I422="",J422=""),"",ROUND(I422/((J422/100)^2),2))</f>
        <v/>
      </c>
      <c r="AA422">
        <f>IF(I422="","",ROUND(IF(K422="",0,K422)+IF(L422="",0,L422)+IF(O422="",0,O422)+IF(P422="",0,P422)+IF(Q422="",0,Q422)+IF(R422="",0,R422),1))</f>
        <v/>
      </c>
      <c r="AB422">
        <f>IF(I422="","",ROUND(IF(K422="",0,K422)+IF(L422="",0,L422)+IF(M422="",0,M422)+IF(N422="",0,N422)+IF(O422="",0,O422)+IF(P422="",0,P422)+IF(Q422="",0,Q422)+IF(R422="",0,R422),1))</f>
        <v/>
      </c>
      <c r="AD422">
        <f>IF(A422="","",A422&amp;"-"&amp;TEXT(C422,"yyyymmdd"))</f>
        <v/>
      </c>
    </row>
    <row r="423">
      <c r="B423">
        <f>IFERROR(INDEX(TablaDeportistas[primerApellido],MATCH(A423,TablaDeportistas[ID_Deportista],0))&amp;" "&amp;INDEX(TablaDeportistas[nombres],MATCH(A423,TablaDeportistas[ID_Deportista],0)),"")</f>
        <v/>
      </c>
      <c r="Z423">
        <f>IF(OR(I423="",J423=""),"",ROUND(I423/((J423/100)^2),2))</f>
        <v/>
      </c>
      <c r="AA423">
        <f>IF(I423="","",ROUND(IF(K423="",0,K423)+IF(L423="",0,L423)+IF(O423="",0,O423)+IF(P423="",0,P423)+IF(Q423="",0,Q423)+IF(R423="",0,R423),1))</f>
        <v/>
      </c>
      <c r="AB423">
        <f>IF(I423="","",ROUND(IF(K423="",0,K423)+IF(L423="",0,L423)+IF(M423="",0,M423)+IF(N423="",0,N423)+IF(O423="",0,O423)+IF(P423="",0,P423)+IF(Q423="",0,Q423)+IF(R423="",0,R423),1))</f>
        <v/>
      </c>
      <c r="AD423">
        <f>IF(A423="","",A423&amp;"-"&amp;TEXT(C423,"yyyymmdd"))</f>
        <v/>
      </c>
    </row>
    <row r="424">
      <c r="B424">
        <f>IFERROR(INDEX(TablaDeportistas[primerApellido],MATCH(A424,TablaDeportistas[ID_Deportista],0))&amp;" "&amp;INDEX(TablaDeportistas[nombres],MATCH(A424,TablaDeportistas[ID_Deportista],0)),"")</f>
        <v/>
      </c>
      <c r="Z424">
        <f>IF(OR(I424="",J424=""),"",ROUND(I424/((J424/100)^2),2))</f>
        <v/>
      </c>
      <c r="AA424">
        <f>IF(I424="","",ROUND(IF(K424="",0,K424)+IF(L424="",0,L424)+IF(O424="",0,O424)+IF(P424="",0,P424)+IF(Q424="",0,Q424)+IF(R424="",0,R424),1))</f>
        <v/>
      </c>
      <c r="AB424">
        <f>IF(I424="","",ROUND(IF(K424="",0,K424)+IF(L424="",0,L424)+IF(M424="",0,M424)+IF(N424="",0,N424)+IF(O424="",0,O424)+IF(P424="",0,P424)+IF(Q424="",0,Q424)+IF(R424="",0,R424),1))</f>
        <v/>
      </c>
      <c r="AD424">
        <f>IF(A424="","",A424&amp;"-"&amp;TEXT(C424,"yyyymmdd"))</f>
        <v/>
      </c>
    </row>
    <row r="425">
      <c r="B425">
        <f>IFERROR(INDEX(TablaDeportistas[primerApellido],MATCH(A425,TablaDeportistas[ID_Deportista],0))&amp;" "&amp;INDEX(TablaDeportistas[nombres],MATCH(A425,TablaDeportistas[ID_Deportista],0)),"")</f>
        <v/>
      </c>
      <c r="Z425">
        <f>IF(OR(I425="",J425=""),"",ROUND(I425/((J425/100)^2),2))</f>
        <v/>
      </c>
      <c r="AA425">
        <f>IF(I425="","",ROUND(IF(K425="",0,K425)+IF(L425="",0,L425)+IF(O425="",0,O425)+IF(P425="",0,P425)+IF(Q425="",0,Q425)+IF(R425="",0,R425),1))</f>
        <v/>
      </c>
      <c r="AB425">
        <f>IF(I425="","",ROUND(IF(K425="",0,K425)+IF(L425="",0,L425)+IF(M425="",0,M425)+IF(N425="",0,N425)+IF(O425="",0,O425)+IF(P425="",0,P425)+IF(Q425="",0,Q425)+IF(R425="",0,R425),1))</f>
        <v/>
      </c>
      <c r="AD425">
        <f>IF(A425="","",A425&amp;"-"&amp;TEXT(C425,"yyyymmdd"))</f>
        <v/>
      </c>
    </row>
    <row r="426">
      <c r="B426">
        <f>IFERROR(INDEX(TablaDeportistas[primerApellido],MATCH(A426,TablaDeportistas[ID_Deportista],0))&amp;" "&amp;INDEX(TablaDeportistas[nombres],MATCH(A426,TablaDeportistas[ID_Deportista],0)),"")</f>
        <v/>
      </c>
      <c r="Z426">
        <f>IF(OR(I426="",J426=""),"",ROUND(I426/((J426/100)^2),2))</f>
        <v/>
      </c>
      <c r="AA426">
        <f>IF(I426="","",ROUND(IF(K426="",0,K426)+IF(L426="",0,L426)+IF(O426="",0,O426)+IF(P426="",0,P426)+IF(Q426="",0,Q426)+IF(R426="",0,R426),1))</f>
        <v/>
      </c>
      <c r="AB426">
        <f>IF(I426="","",ROUND(IF(K426="",0,K426)+IF(L426="",0,L426)+IF(M426="",0,M426)+IF(N426="",0,N426)+IF(O426="",0,O426)+IF(P426="",0,P426)+IF(Q426="",0,Q426)+IF(R426="",0,R426),1))</f>
        <v/>
      </c>
      <c r="AD426">
        <f>IF(A426="","",A426&amp;"-"&amp;TEXT(C426,"yyyymmdd"))</f>
        <v/>
      </c>
    </row>
    <row r="427">
      <c r="B427">
        <f>IFERROR(INDEX(TablaDeportistas[primerApellido],MATCH(A427,TablaDeportistas[ID_Deportista],0))&amp;" "&amp;INDEX(TablaDeportistas[nombres],MATCH(A427,TablaDeportistas[ID_Deportista],0)),"")</f>
        <v/>
      </c>
      <c r="Z427">
        <f>IF(OR(I427="",J427=""),"",ROUND(I427/((J427/100)^2),2))</f>
        <v/>
      </c>
      <c r="AA427">
        <f>IF(I427="","",ROUND(IF(K427="",0,K427)+IF(L427="",0,L427)+IF(O427="",0,O427)+IF(P427="",0,P427)+IF(Q427="",0,Q427)+IF(R427="",0,R427),1))</f>
        <v/>
      </c>
      <c r="AB427">
        <f>IF(I427="","",ROUND(IF(K427="",0,K427)+IF(L427="",0,L427)+IF(M427="",0,M427)+IF(N427="",0,N427)+IF(O427="",0,O427)+IF(P427="",0,P427)+IF(Q427="",0,Q427)+IF(R427="",0,R427),1))</f>
        <v/>
      </c>
      <c r="AD427">
        <f>IF(A427="","",A427&amp;"-"&amp;TEXT(C427,"yyyymmdd"))</f>
        <v/>
      </c>
    </row>
    <row r="428">
      <c r="B428">
        <f>IFERROR(INDEX(TablaDeportistas[primerApellido],MATCH(A428,TablaDeportistas[ID_Deportista],0))&amp;" "&amp;INDEX(TablaDeportistas[nombres],MATCH(A428,TablaDeportistas[ID_Deportista],0)),"")</f>
        <v/>
      </c>
      <c r="Z428">
        <f>IF(OR(I428="",J428=""),"",ROUND(I428/((J428/100)^2),2))</f>
        <v/>
      </c>
      <c r="AA428">
        <f>IF(I428="","",ROUND(IF(K428="",0,K428)+IF(L428="",0,L428)+IF(O428="",0,O428)+IF(P428="",0,P428)+IF(Q428="",0,Q428)+IF(R428="",0,R428),1))</f>
        <v/>
      </c>
      <c r="AB428">
        <f>IF(I428="","",ROUND(IF(K428="",0,K428)+IF(L428="",0,L428)+IF(M428="",0,M428)+IF(N428="",0,N428)+IF(O428="",0,O428)+IF(P428="",0,P428)+IF(Q428="",0,Q428)+IF(R428="",0,R428),1))</f>
        <v/>
      </c>
      <c r="AD428">
        <f>IF(A428="","",A428&amp;"-"&amp;TEXT(C428,"yyyymmdd"))</f>
        <v/>
      </c>
    </row>
    <row r="429">
      <c r="B429">
        <f>IFERROR(INDEX(TablaDeportistas[primerApellido],MATCH(A429,TablaDeportistas[ID_Deportista],0))&amp;" "&amp;INDEX(TablaDeportistas[nombres],MATCH(A429,TablaDeportistas[ID_Deportista],0)),"")</f>
        <v/>
      </c>
      <c r="Z429">
        <f>IF(OR(I429="",J429=""),"",ROUND(I429/((J429/100)^2),2))</f>
        <v/>
      </c>
      <c r="AA429">
        <f>IF(I429="","",ROUND(IF(K429="",0,K429)+IF(L429="",0,L429)+IF(O429="",0,O429)+IF(P429="",0,P429)+IF(Q429="",0,Q429)+IF(R429="",0,R429),1))</f>
        <v/>
      </c>
      <c r="AB429">
        <f>IF(I429="","",ROUND(IF(K429="",0,K429)+IF(L429="",0,L429)+IF(M429="",0,M429)+IF(N429="",0,N429)+IF(O429="",0,O429)+IF(P429="",0,P429)+IF(Q429="",0,Q429)+IF(R429="",0,R429),1))</f>
        <v/>
      </c>
      <c r="AD429">
        <f>IF(A429="","",A429&amp;"-"&amp;TEXT(C429,"yyyymmdd"))</f>
        <v/>
      </c>
    </row>
    <row r="430">
      <c r="B430">
        <f>IFERROR(INDEX(TablaDeportistas[primerApellido],MATCH(A430,TablaDeportistas[ID_Deportista],0))&amp;" "&amp;INDEX(TablaDeportistas[nombres],MATCH(A430,TablaDeportistas[ID_Deportista],0)),"")</f>
        <v/>
      </c>
      <c r="Z430">
        <f>IF(OR(I430="",J430=""),"",ROUND(I430/((J430/100)^2),2))</f>
        <v/>
      </c>
      <c r="AA430">
        <f>IF(I430="","",ROUND(IF(K430="",0,K430)+IF(L430="",0,L430)+IF(O430="",0,O430)+IF(P430="",0,P430)+IF(Q430="",0,Q430)+IF(R430="",0,R430),1))</f>
        <v/>
      </c>
      <c r="AB430">
        <f>IF(I430="","",ROUND(IF(K430="",0,K430)+IF(L430="",0,L430)+IF(M430="",0,M430)+IF(N430="",0,N430)+IF(O430="",0,O430)+IF(P430="",0,P430)+IF(Q430="",0,Q430)+IF(R430="",0,R430),1))</f>
        <v/>
      </c>
      <c r="AD430">
        <f>IF(A430="","",A430&amp;"-"&amp;TEXT(C430,"yyyymmdd"))</f>
        <v/>
      </c>
    </row>
    <row r="431">
      <c r="B431">
        <f>IFERROR(INDEX(TablaDeportistas[primerApellido],MATCH(A431,TablaDeportistas[ID_Deportista],0))&amp;" "&amp;INDEX(TablaDeportistas[nombres],MATCH(A431,TablaDeportistas[ID_Deportista],0)),"")</f>
        <v/>
      </c>
      <c r="Z431">
        <f>IF(OR(I431="",J431=""),"",ROUND(I431/((J431/100)^2),2))</f>
        <v/>
      </c>
      <c r="AA431">
        <f>IF(I431="","",ROUND(IF(K431="",0,K431)+IF(L431="",0,L431)+IF(O431="",0,O431)+IF(P431="",0,P431)+IF(Q431="",0,Q431)+IF(R431="",0,R431),1))</f>
        <v/>
      </c>
      <c r="AB431">
        <f>IF(I431="","",ROUND(IF(K431="",0,K431)+IF(L431="",0,L431)+IF(M431="",0,M431)+IF(N431="",0,N431)+IF(O431="",0,O431)+IF(P431="",0,P431)+IF(Q431="",0,Q431)+IF(R431="",0,R431),1))</f>
        <v/>
      </c>
      <c r="AD431">
        <f>IF(A431="","",A431&amp;"-"&amp;TEXT(C431,"yyyymmdd"))</f>
        <v/>
      </c>
    </row>
    <row r="432">
      <c r="B432">
        <f>IFERROR(INDEX(TablaDeportistas[primerApellido],MATCH(A432,TablaDeportistas[ID_Deportista],0))&amp;" "&amp;INDEX(TablaDeportistas[nombres],MATCH(A432,TablaDeportistas[ID_Deportista],0)),"")</f>
        <v/>
      </c>
      <c r="Z432">
        <f>IF(OR(I432="",J432=""),"",ROUND(I432/((J432/100)^2),2))</f>
        <v/>
      </c>
      <c r="AA432">
        <f>IF(I432="","",ROUND(IF(K432="",0,K432)+IF(L432="",0,L432)+IF(O432="",0,O432)+IF(P432="",0,P432)+IF(Q432="",0,Q432)+IF(R432="",0,R432),1))</f>
        <v/>
      </c>
      <c r="AB432">
        <f>IF(I432="","",ROUND(IF(K432="",0,K432)+IF(L432="",0,L432)+IF(M432="",0,M432)+IF(N432="",0,N432)+IF(O432="",0,O432)+IF(P432="",0,P432)+IF(Q432="",0,Q432)+IF(R432="",0,R432),1))</f>
        <v/>
      </c>
      <c r="AD432">
        <f>IF(A432="","",A432&amp;"-"&amp;TEXT(C432,"yyyymmdd"))</f>
        <v/>
      </c>
    </row>
    <row r="433">
      <c r="B433">
        <f>IFERROR(INDEX(TablaDeportistas[primerApellido],MATCH(A433,TablaDeportistas[ID_Deportista],0))&amp;" "&amp;INDEX(TablaDeportistas[nombres],MATCH(A433,TablaDeportistas[ID_Deportista],0)),"")</f>
        <v/>
      </c>
      <c r="Z433">
        <f>IF(OR(I433="",J433=""),"",ROUND(I433/((J433/100)^2),2))</f>
        <v/>
      </c>
      <c r="AA433">
        <f>IF(I433="","",ROUND(IF(K433="",0,K433)+IF(L433="",0,L433)+IF(O433="",0,O433)+IF(P433="",0,P433)+IF(Q433="",0,Q433)+IF(R433="",0,R433),1))</f>
        <v/>
      </c>
      <c r="AB433">
        <f>IF(I433="","",ROUND(IF(K433="",0,K433)+IF(L433="",0,L433)+IF(M433="",0,M433)+IF(N433="",0,N433)+IF(O433="",0,O433)+IF(P433="",0,P433)+IF(Q433="",0,Q433)+IF(R433="",0,R433),1))</f>
        <v/>
      </c>
      <c r="AD433">
        <f>IF(A433="","",A433&amp;"-"&amp;TEXT(C433,"yyyymmdd"))</f>
        <v/>
      </c>
    </row>
    <row r="434">
      <c r="B434">
        <f>IFERROR(INDEX(TablaDeportistas[primerApellido],MATCH(A434,TablaDeportistas[ID_Deportista],0))&amp;" "&amp;INDEX(TablaDeportistas[nombres],MATCH(A434,TablaDeportistas[ID_Deportista],0)),"")</f>
        <v/>
      </c>
      <c r="Z434">
        <f>IF(OR(I434="",J434=""),"",ROUND(I434/((J434/100)^2),2))</f>
        <v/>
      </c>
      <c r="AA434">
        <f>IF(I434="","",ROUND(IF(K434="",0,K434)+IF(L434="",0,L434)+IF(O434="",0,O434)+IF(P434="",0,P434)+IF(Q434="",0,Q434)+IF(R434="",0,R434),1))</f>
        <v/>
      </c>
      <c r="AB434">
        <f>IF(I434="","",ROUND(IF(K434="",0,K434)+IF(L434="",0,L434)+IF(M434="",0,M434)+IF(N434="",0,N434)+IF(O434="",0,O434)+IF(P434="",0,P434)+IF(Q434="",0,Q434)+IF(R434="",0,R434),1))</f>
        <v/>
      </c>
      <c r="AD434">
        <f>IF(A434="","",A434&amp;"-"&amp;TEXT(C434,"yyyymmdd"))</f>
        <v/>
      </c>
    </row>
    <row r="435">
      <c r="B435">
        <f>IFERROR(INDEX(TablaDeportistas[primerApellido],MATCH(A435,TablaDeportistas[ID_Deportista],0))&amp;" "&amp;INDEX(TablaDeportistas[nombres],MATCH(A435,TablaDeportistas[ID_Deportista],0)),"")</f>
        <v/>
      </c>
      <c r="Z435">
        <f>IF(OR(I435="",J435=""),"",ROUND(I435/((J435/100)^2),2))</f>
        <v/>
      </c>
      <c r="AA435">
        <f>IF(I435="","",ROUND(IF(K435="",0,K435)+IF(L435="",0,L435)+IF(O435="",0,O435)+IF(P435="",0,P435)+IF(Q435="",0,Q435)+IF(R435="",0,R435),1))</f>
        <v/>
      </c>
      <c r="AB435">
        <f>IF(I435="","",ROUND(IF(K435="",0,K435)+IF(L435="",0,L435)+IF(M435="",0,M435)+IF(N435="",0,N435)+IF(O435="",0,O435)+IF(P435="",0,P435)+IF(Q435="",0,Q435)+IF(R435="",0,R435),1))</f>
        <v/>
      </c>
      <c r="AD435">
        <f>IF(A435="","",A435&amp;"-"&amp;TEXT(C435,"yyyymmdd"))</f>
        <v/>
      </c>
    </row>
    <row r="436">
      <c r="B436">
        <f>IFERROR(INDEX(TablaDeportistas[primerApellido],MATCH(A436,TablaDeportistas[ID_Deportista],0))&amp;" "&amp;INDEX(TablaDeportistas[nombres],MATCH(A436,TablaDeportistas[ID_Deportista],0)),"")</f>
        <v/>
      </c>
      <c r="Z436">
        <f>IF(OR(I436="",J436=""),"",ROUND(I436/((J436/100)^2),2))</f>
        <v/>
      </c>
      <c r="AA436">
        <f>IF(I436="","",ROUND(IF(K436="",0,K436)+IF(L436="",0,L436)+IF(O436="",0,O436)+IF(P436="",0,P436)+IF(Q436="",0,Q436)+IF(R436="",0,R436),1))</f>
        <v/>
      </c>
      <c r="AB436">
        <f>IF(I436="","",ROUND(IF(K436="",0,K436)+IF(L436="",0,L436)+IF(M436="",0,M436)+IF(N436="",0,N436)+IF(O436="",0,O436)+IF(P436="",0,P436)+IF(Q436="",0,Q436)+IF(R436="",0,R436),1))</f>
        <v/>
      </c>
      <c r="AD436">
        <f>IF(A436="","",A436&amp;"-"&amp;TEXT(C436,"yyyymmdd"))</f>
        <v/>
      </c>
    </row>
    <row r="437">
      <c r="B437">
        <f>IFERROR(INDEX(TablaDeportistas[primerApellido],MATCH(A437,TablaDeportistas[ID_Deportista],0))&amp;" "&amp;INDEX(TablaDeportistas[nombres],MATCH(A437,TablaDeportistas[ID_Deportista],0)),"")</f>
        <v/>
      </c>
      <c r="Z437">
        <f>IF(OR(I437="",J437=""),"",ROUND(I437/((J437/100)^2),2))</f>
        <v/>
      </c>
      <c r="AA437">
        <f>IF(I437="","",ROUND(IF(K437="",0,K437)+IF(L437="",0,L437)+IF(O437="",0,O437)+IF(P437="",0,P437)+IF(Q437="",0,Q437)+IF(R437="",0,R437),1))</f>
        <v/>
      </c>
      <c r="AB437">
        <f>IF(I437="","",ROUND(IF(K437="",0,K437)+IF(L437="",0,L437)+IF(M437="",0,M437)+IF(N437="",0,N437)+IF(O437="",0,O437)+IF(P437="",0,P437)+IF(Q437="",0,Q437)+IF(R437="",0,R437),1))</f>
        <v/>
      </c>
      <c r="AD437">
        <f>IF(A437="","",A437&amp;"-"&amp;TEXT(C437,"yyyymmdd"))</f>
        <v/>
      </c>
    </row>
    <row r="438">
      <c r="B438">
        <f>IFERROR(INDEX(TablaDeportistas[primerApellido],MATCH(A438,TablaDeportistas[ID_Deportista],0))&amp;" "&amp;INDEX(TablaDeportistas[nombres],MATCH(A438,TablaDeportistas[ID_Deportista],0)),"")</f>
        <v/>
      </c>
      <c r="Z438">
        <f>IF(OR(I438="",J438=""),"",ROUND(I438/((J438/100)^2),2))</f>
        <v/>
      </c>
      <c r="AA438">
        <f>IF(I438="","",ROUND(IF(K438="",0,K438)+IF(L438="",0,L438)+IF(O438="",0,O438)+IF(P438="",0,P438)+IF(Q438="",0,Q438)+IF(R438="",0,R438),1))</f>
        <v/>
      </c>
      <c r="AB438">
        <f>IF(I438="","",ROUND(IF(K438="",0,K438)+IF(L438="",0,L438)+IF(M438="",0,M438)+IF(N438="",0,N438)+IF(O438="",0,O438)+IF(P438="",0,P438)+IF(Q438="",0,Q438)+IF(R438="",0,R438),1))</f>
        <v/>
      </c>
      <c r="AD438">
        <f>IF(A438="","",A438&amp;"-"&amp;TEXT(C438,"yyyymmdd"))</f>
        <v/>
      </c>
    </row>
    <row r="439">
      <c r="B439">
        <f>IFERROR(INDEX(TablaDeportistas[primerApellido],MATCH(A439,TablaDeportistas[ID_Deportista],0))&amp;" "&amp;INDEX(TablaDeportistas[nombres],MATCH(A439,TablaDeportistas[ID_Deportista],0)),"")</f>
        <v/>
      </c>
      <c r="Z439">
        <f>IF(OR(I439="",J439=""),"",ROUND(I439/((J439/100)^2),2))</f>
        <v/>
      </c>
      <c r="AA439">
        <f>IF(I439="","",ROUND(IF(K439="",0,K439)+IF(L439="",0,L439)+IF(O439="",0,O439)+IF(P439="",0,P439)+IF(Q439="",0,Q439)+IF(R439="",0,R439),1))</f>
        <v/>
      </c>
      <c r="AB439">
        <f>IF(I439="","",ROUND(IF(K439="",0,K439)+IF(L439="",0,L439)+IF(M439="",0,M439)+IF(N439="",0,N439)+IF(O439="",0,O439)+IF(P439="",0,P439)+IF(Q439="",0,Q439)+IF(R439="",0,R439),1))</f>
        <v/>
      </c>
      <c r="AD439">
        <f>IF(A439="","",A439&amp;"-"&amp;TEXT(C439,"yyyymmdd"))</f>
        <v/>
      </c>
    </row>
    <row r="440">
      <c r="B440">
        <f>IFERROR(INDEX(TablaDeportistas[primerApellido],MATCH(A440,TablaDeportistas[ID_Deportista],0))&amp;" "&amp;INDEX(TablaDeportistas[nombres],MATCH(A440,TablaDeportistas[ID_Deportista],0)),"")</f>
        <v/>
      </c>
      <c r="Z440">
        <f>IF(OR(I440="",J440=""),"",ROUND(I440/((J440/100)^2),2))</f>
        <v/>
      </c>
      <c r="AA440">
        <f>IF(I440="","",ROUND(IF(K440="",0,K440)+IF(L440="",0,L440)+IF(O440="",0,O440)+IF(P440="",0,P440)+IF(Q440="",0,Q440)+IF(R440="",0,R440),1))</f>
        <v/>
      </c>
      <c r="AB440">
        <f>IF(I440="","",ROUND(IF(K440="",0,K440)+IF(L440="",0,L440)+IF(M440="",0,M440)+IF(N440="",0,N440)+IF(O440="",0,O440)+IF(P440="",0,P440)+IF(Q440="",0,Q440)+IF(R440="",0,R440),1))</f>
        <v/>
      </c>
      <c r="AD440">
        <f>IF(A440="","",A440&amp;"-"&amp;TEXT(C440,"yyyymmdd"))</f>
        <v/>
      </c>
    </row>
    <row r="441">
      <c r="B441">
        <f>IFERROR(INDEX(TablaDeportistas[primerApellido],MATCH(A441,TablaDeportistas[ID_Deportista],0))&amp;" "&amp;INDEX(TablaDeportistas[nombres],MATCH(A441,TablaDeportistas[ID_Deportista],0)),"")</f>
        <v/>
      </c>
      <c r="Z441">
        <f>IF(OR(I441="",J441=""),"",ROUND(I441/((J441/100)^2),2))</f>
        <v/>
      </c>
      <c r="AA441">
        <f>IF(I441="","",ROUND(IF(K441="",0,K441)+IF(L441="",0,L441)+IF(O441="",0,O441)+IF(P441="",0,P441)+IF(Q441="",0,Q441)+IF(R441="",0,R441),1))</f>
        <v/>
      </c>
      <c r="AB441">
        <f>IF(I441="","",ROUND(IF(K441="",0,K441)+IF(L441="",0,L441)+IF(M441="",0,M441)+IF(N441="",0,N441)+IF(O441="",0,O441)+IF(P441="",0,P441)+IF(Q441="",0,Q441)+IF(R441="",0,R441),1))</f>
        <v/>
      </c>
      <c r="AD441">
        <f>IF(A441="","",A441&amp;"-"&amp;TEXT(C441,"yyyymmdd"))</f>
        <v/>
      </c>
    </row>
    <row r="442">
      <c r="B442">
        <f>IFERROR(INDEX(TablaDeportistas[primerApellido],MATCH(A442,TablaDeportistas[ID_Deportista],0))&amp;" "&amp;INDEX(TablaDeportistas[nombres],MATCH(A442,TablaDeportistas[ID_Deportista],0)),"")</f>
        <v/>
      </c>
      <c r="Z442">
        <f>IF(OR(I442="",J442=""),"",ROUND(I442/((J442/100)^2),2))</f>
        <v/>
      </c>
      <c r="AA442">
        <f>IF(I442="","",ROUND(IF(K442="",0,K442)+IF(L442="",0,L442)+IF(O442="",0,O442)+IF(P442="",0,P442)+IF(Q442="",0,Q442)+IF(R442="",0,R442),1))</f>
        <v/>
      </c>
      <c r="AB442">
        <f>IF(I442="","",ROUND(IF(K442="",0,K442)+IF(L442="",0,L442)+IF(M442="",0,M442)+IF(N442="",0,N442)+IF(O442="",0,O442)+IF(P442="",0,P442)+IF(Q442="",0,Q442)+IF(R442="",0,R442),1))</f>
        <v/>
      </c>
      <c r="AD442">
        <f>IF(A442="","",A442&amp;"-"&amp;TEXT(C442,"yyyymmdd"))</f>
        <v/>
      </c>
    </row>
    <row r="443">
      <c r="B443">
        <f>IFERROR(INDEX(TablaDeportistas[primerApellido],MATCH(A443,TablaDeportistas[ID_Deportista],0))&amp;" "&amp;INDEX(TablaDeportistas[nombres],MATCH(A443,TablaDeportistas[ID_Deportista],0)),"")</f>
        <v/>
      </c>
      <c r="Z443">
        <f>IF(OR(I443="",J443=""),"",ROUND(I443/((J443/100)^2),2))</f>
        <v/>
      </c>
      <c r="AA443">
        <f>IF(I443="","",ROUND(IF(K443="",0,K443)+IF(L443="",0,L443)+IF(O443="",0,O443)+IF(P443="",0,P443)+IF(Q443="",0,Q443)+IF(R443="",0,R443),1))</f>
        <v/>
      </c>
      <c r="AB443">
        <f>IF(I443="","",ROUND(IF(K443="",0,K443)+IF(L443="",0,L443)+IF(M443="",0,M443)+IF(N443="",0,N443)+IF(O443="",0,O443)+IF(P443="",0,P443)+IF(Q443="",0,Q443)+IF(R443="",0,R443),1))</f>
        <v/>
      </c>
      <c r="AD443">
        <f>IF(A443="","",A443&amp;"-"&amp;TEXT(C443,"yyyymmdd"))</f>
        <v/>
      </c>
    </row>
    <row r="444">
      <c r="B444">
        <f>IFERROR(INDEX(TablaDeportistas[primerApellido],MATCH(A444,TablaDeportistas[ID_Deportista],0))&amp;" "&amp;INDEX(TablaDeportistas[nombres],MATCH(A444,TablaDeportistas[ID_Deportista],0)),"")</f>
        <v/>
      </c>
      <c r="Z444">
        <f>IF(OR(I444="",J444=""),"",ROUND(I444/((J444/100)^2),2))</f>
        <v/>
      </c>
      <c r="AA444">
        <f>IF(I444="","",ROUND(IF(K444="",0,K444)+IF(L444="",0,L444)+IF(O444="",0,O444)+IF(P444="",0,P444)+IF(Q444="",0,Q444)+IF(R444="",0,R444),1))</f>
        <v/>
      </c>
      <c r="AB444">
        <f>IF(I444="","",ROUND(IF(K444="",0,K444)+IF(L444="",0,L444)+IF(M444="",0,M444)+IF(N444="",0,N444)+IF(O444="",0,O444)+IF(P444="",0,P444)+IF(Q444="",0,Q444)+IF(R444="",0,R444),1))</f>
        <v/>
      </c>
      <c r="AD444">
        <f>IF(A444="","",A444&amp;"-"&amp;TEXT(C444,"yyyymmdd"))</f>
        <v/>
      </c>
    </row>
    <row r="445">
      <c r="B445">
        <f>IFERROR(INDEX(TablaDeportistas[primerApellido],MATCH(A445,TablaDeportistas[ID_Deportista],0))&amp;" "&amp;INDEX(TablaDeportistas[nombres],MATCH(A445,TablaDeportistas[ID_Deportista],0)),"")</f>
        <v/>
      </c>
      <c r="Z445">
        <f>IF(OR(I445="",J445=""),"",ROUND(I445/((J445/100)^2),2))</f>
        <v/>
      </c>
      <c r="AA445">
        <f>IF(I445="","",ROUND(IF(K445="",0,K445)+IF(L445="",0,L445)+IF(O445="",0,O445)+IF(P445="",0,P445)+IF(Q445="",0,Q445)+IF(R445="",0,R445),1))</f>
        <v/>
      </c>
      <c r="AB445">
        <f>IF(I445="","",ROUND(IF(K445="",0,K445)+IF(L445="",0,L445)+IF(M445="",0,M445)+IF(N445="",0,N445)+IF(O445="",0,O445)+IF(P445="",0,P445)+IF(Q445="",0,Q445)+IF(R445="",0,R445),1))</f>
        <v/>
      </c>
      <c r="AD445">
        <f>IF(A445="","",A445&amp;"-"&amp;TEXT(C445,"yyyymmdd"))</f>
        <v/>
      </c>
    </row>
    <row r="446">
      <c r="B446">
        <f>IFERROR(INDEX(TablaDeportistas[primerApellido],MATCH(A446,TablaDeportistas[ID_Deportista],0))&amp;" "&amp;INDEX(TablaDeportistas[nombres],MATCH(A446,TablaDeportistas[ID_Deportista],0)),"")</f>
        <v/>
      </c>
      <c r="Z446">
        <f>IF(OR(I446="",J446=""),"",ROUND(I446/((J446/100)^2),2))</f>
        <v/>
      </c>
      <c r="AA446">
        <f>IF(I446="","",ROUND(IF(K446="",0,K446)+IF(L446="",0,L446)+IF(O446="",0,O446)+IF(P446="",0,P446)+IF(Q446="",0,Q446)+IF(R446="",0,R446),1))</f>
        <v/>
      </c>
      <c r="AB446">
        <f>IF(I446="","",ROUND(IF(K446="",0,K446)+IF(L446="",0,L446)+IF(M446="",0,M446)+IF(N446="",0,N446)+IF(O446="",0,O446)+IF(P446="",0,P446)+IF(Q446="",0,Q446)+IF(R446="",0,R446),1))</f>
        <v/>
      </c>
      <c r="AD446">
        <f>IF(A446="","",A446&amp;"-"&amp;TEXT(C446,"yyyymmdd"))</f>
        <v/>
      </c>
    </row>
    <row r="447">
      <c r="B447">
        <f>IFERROR(INDEX(TablaDeportistas[primerApellido],MATCH(A447,TablaDeportistas[ID_Deportista],0))&amp;" "&amp;INDEX(TablaDeportistas[nombres],MATCH(A447,TablaDeportistas[ID_Deportista],0)),"")</f>
        <v/>
      </c>
      <c r="Z447">
        <f>IF(OR(I447="",J447=""),"",ROUND(I447/((J447/100)^2),2))</f>
        <v/>
      </c>
      <c r="AA447">
        <f>IF(I447="","",ROUND(IF(K447="",0,K447)+IF(L447="",0,L447)+IF(O447="",0,O447)+IF(P447="",0,P447)+IF(Q447="",0,Q447)+IF(R447="",0,R447),1))</f>
        <v/>
      </c>
      <c r="AB447">
        <f>IF(I447="","",ROUND(IF(K447="",0,K447)+IF(L447="",0,L447)+IF(M447="",0,M447)+IF(N447="",0,N447)+IF(O447="",0,O447)+IF(P447="",0,P447)+IF(Q447="",0,Q447)+IF(R447="",0,R447),1))</f>
        <v/>
      </c>
      <c r="AD447">
        <f>IF(A447="","",A447&amp;"-"&amp;TEXT(C447,"yyyymmdd"))</f>
        <v/>
      </c>
    </row>
    <row r="448">
      <c r="B448">
        <f>IFERROR(INDEX(TablaDeportistas[primerApellido],MATCH(A448,TablaDeportistas[ID_Deportista],0))&amp;" "&amp;INDEX(TablaDeportistas[nombres],MATCH(A448,TablaDeportistas[ID_Deportista],0)),"")</f>
        <v/>
      </c>
      <c r="Z448">
        <f>IF(OR(I448="",J448=""),"",ROUND(I448/((J448/100)^2),2))</f>
        <v/>
      </c>
      <c r="AA448">
        <f>IF(I448="","",ROUND(IF(K448="",0,K448)+IF(L448="",0,L448)+IF(O448="",0,O448)+IF(P448="",0,P448)+IF(Q448="",0,Q448)+IF(R448="",0,R448),1))</f>
        <v/>
      </c>
      <c r="AB448">
        <f>IF(I448="","",ROUND(IF(K448="",0,K448)+IF(L448="",0,L448)+IF(M448="",0,M448)+IF(N448="",0,N448)+IF(O448="",0,O448)+IF(P448="",0,P448)+IF(Q448="",0,Q448)+IF(R448="",0,R448),1))</f>
        <v/>
      </c>
      <c r="AD448">
        <f>IF(A448="","",A448&amp;"-"&amp;TEXT(C448,"yyyymmdd"))</f>
        <v/>
      </c>
    </row>
    <row r="449">
      <c r="B449">
        <f>IFERROR(INDEX(TablaDeportistas[primerApellido],MATCH(A449,TablaDeportistas[ID_Deportista],0))&amp;" "&amp;INDEX(TablaDeportistas[nombres],MATCH(A449,TablaDeportistas[ID_Deportista],0)),"")</f>
        <v/>
      </c>
      <c r="Z449">
        <f>IF(OR(I449="",J449=""),"",ROUND(I449/((J449/100)^2),2))</f>
        <v/>
      </c>
      <c r="AA449">
        <f>IF(I449="","",ROUND(IF(K449="",0,K449)+IF(L449="",0,L449)+IF(O449="",0,O449)+IF(P449="",0,P449)+IF(Q449="",0,Q449)+IF(R449="",0,R449),1))</f>
        <v/>
      </c>
      <c r="AB449">
        <f>IF(I449="","",ROUND(IF(K449="",0,K449)+IF(L449="",0,L449)+IF(M449="",0,M449)+IF(N449="",0,N449)+IF(O449="",0,O449)+IF(P449="",0,P449)+IF(Q449="",0,Q449)+IF(R449="",0,R449),1))</f>
        <v/>
      </c>
      <c r="AD449">
        <f>IF(A449="","",A449&amp;"-"&amp;TEXT(C449,"yyyymmdd"))</f>
        <v/>
      </c>
    </row>
    <row r="450">
      <c r="B450">
        <f>IFERROR(INDEX(TablaDeportistas[primerApellido],MATCH(A450,TablaDeportistas[ID_Deportista],0))&amp;" "&amp;INDEX(TablaDeportistas[nombres],MATCH(A450,TablaDeportistas[ID_Deportista],0)),"")</f>
        <v/>
      </c>
      <c r="Z450">
        <f>IF(OR(I450="",J450=""),"",ROUND(I450/((J450/100)^2),2))</f>
        <v/>
      </c>
      <c r="AA450">
        <f>IF(I450="","",ROUND(IF(K450="",0,K450)+IF(L450="",0,L450)+IF(O450="",0,O450)+IF(P450="",0,P450)+IF(Q450="",0,Q450)+IF(R450="",0,R450),1))</f>
        <v/>
      </c>
      <c r="AB450">
        <f>IF(I450="","",ROUND(IF(K450="",0,K450)+IF(L450="",0,L450)+IF(M450="",0,M450)+IF(N450="",0,N450)+IF(O450="",0,O450)+IF(P450="",0,P450)+IF(Q450="",0,Q450)+IF(R450="",0,R450),1))</f>
        <v/>
      </c>
      <c r="AD450">
        <f>IF(A450="","",A450&amp;"-"&amp;TEXT(C450,"yyyymmdd"))</f>
        <v/>
      </c>
    </row>
    <row r="451">
      <c r="B451">
        <f>IFERROR(INDEX(TablaDeportistas[primerApellido],MATCH(A451,TablaDeportistas[ID_Deportista],0))&amp;" "&amp;INDEX(TablaDeportistas[nombres],MATCH(A451,TablaDeportistas[ID_Deportista],0)),"")</f>
        <v/>
      </c>
      <c r="Z451">
        <f>IF(OR(I451="",J451=""),"",ROUND(I451/((J451/100)^2),2))</f>
        <v/>
      </c>
      <c r="AA451">
        <f>IF(I451="","",ROUND(IF(K451="",0,K451)+IF(L451="",0,L451)+IF(O451="",0,O451)+IF(P451="",0,P451)+IF(Q451="",0,Q451)+IF(R451="",0,R451),1))</f>
        <v/>
      </c>
      <c r="AB451">
        <f>IF(I451="","",ROUND(IF(K451="",0,K451)+IF(L451="",0,L451)+IF(M451="",0,M451)+IF(N451="",0,N451)+IF(O451="",0,O451)+IF(P451="",0,P451)+IF(Q451="",0,Q451)+IF(R451="",0,R451),1))</f>
        <v/>
      </c>
      <c r="AD451">
        <f>IF(A451="","",A451&amp;"-"&amp;TEXT(C451,"yyyymmdd"))</f>
        <v/>
      </c>
    </row>
    <row r="452">
      <c r="B452">
        <f>IFERROR(INDEX(TablaDeportistas[primerApellido],MATCH(A452,TablaDeportistas[ID_Deportista],0))&amp;" "&amp;INDEX(TablaDeportistas[nombres],MATCH(A452,TablaDeportistas[ID_Deportista],0)),"")</f>
        <v/>
      </c>
      <c r="Z452">
        <f>IF(OR(I452="",J452=""),"",ROUND(I452/((J452/100)^2),2))</f>
        <v/>
      </c>
      <c r="AA452">
        <f>IF(I452="","",ROUND(IF(K452="",0,K452)+IF(L452="",0,L452)+IF(O452="",0,O452)+IF(P452="",0,P452)+IF(Q452="",0,Q452)+IF(R452="",0,R452),1))</f>
        <v/>
      </c>
      <c r="AB452">
        <f>IF(I452="","",ROUND(IF(K452="",0,K452)+IF(L452="",0,L452)+IF(M452="",0,M452)+IF(N452="",0,N452)+IF(O452="",0,O452)+IF(P452="",0,P452)+IF(Q452="",0,Q452)+IF(R452="",0,R452),1))</f>
        <v/>
      </c>
      <c r="AD452">
        <f>IF(A452="","",A452&amp;"-"&amp;TEXT(C452,"yyyymmdd"))</f>
        <v/>
      </c>
    </row>
    <row r="453">
      <c r="B453">
        <f>IFERROR(INDEX(TablaDeportistas[primerApellido],MATCH(A453,TablaDeportistas[ID_Deportista],0))&amp;" "&amp;INDEX(TablaDeportistas[nombres],MATCH(A453,TablaDeportistas[ID_Deportista],0)),"")</f>
        <v/>
      </c>
      <c r="Z453">
        <f>IF(OR(I453="",J453=""),"",ROUND(I453/((J453/100)^2),2))</f>
        <v/>
      </c>
      <c r="AA453">
        <f>IF(I453="","",ROUND(IF(K453="",0,K453)+IF(L453="",0,L453)+IF(O453="",0,O453)+IF(P453="",0,P453)+IF(Q453="",0,Q453)+IF(R453="",0,R453),1))</f>
        <v/>
      </c>
      <c r="AB453">
        <f>IF(I453="","",ROUND(IF(K453="",0,K453)+IF(L453="",0,L453)+IF(M453="",0,M453)+IF(N453="",0,N453)+IF(O453="",0,O453)+IF(P453="",0,P453)+IF(Q453="",0,Q453)+IF(R453="",0,R453),1))</f>
        <v/>
      </c>
      <c r="AD453">
        <f>IF(A453="","",A453&amp;"-"&amp;TEXT(C453,"yyyymmdd"))</f>
        <v/>
      </c>
    </row>
    <row r="454">
      <c r="B454">
        <f>IFERROR(INDEX(TablaDeportistas[primerApellido],MATCH(A454,TablaDeportistas[ID_Deportista],0))&amp;" "&amp;INDEX(TablaDeportistas[nombres],MATCH(A454,TablaDeportistas[ID_Deportista],0)),"")</f>
        <v/>
      </c>
      <c r="Z454">
        <f>IF(OR(I454="",J454=""),"",ROUND(I454/((J454/100)^2),2))</f>
        <v/>
      </c>
      <c r="AA454">
        <f>IF(I454="","",ROUND(IF(K454="",0,K454)+IF(L454="",0,L454)+IF(O454="",0,O454)+IF(P454="",0,P454)+IF(Q454="",0,Q454)+IF(R454="",0,R454),1))</f>
        <v/>
      </c>
      <c r="AB454">
        <f>IF(I454="","",ROUND(IF(K454="",0,K454)+IF(L454="",0,L454)+IF(M454="",0,M454)+IF(N454="",0,N454)+IF(O454="",0,O454)+IF(P454="",0,P454)+IF(Q454="",0,Q454)+IF(R454="",0,R454),1))</f>
        <v/>
      </c>
      <c r="AD454">
        <f>IF(A454="","",A454&amp;"-"&amp;TEXT(C454,"yyyymmdd"))</f>
        <v/>
      </c>
    </row>
    <row r="455">
      <c r="B455">
        <f>IFERROR(INDEX(TablaDeportistas[primerApellido],MATCH(A455,TablaDeportistas[ID_Deportista],0))&amp;" "&amp;INDEX(TablaDeportistas[nombres],MATCH(A455,TablaDeportistas[ID_Deportista],0)),"")</f>
        <v/>
      </c>
      <c r="Z455">
        <f>IF(OR(I455="",J455=""),"",ROUND(I455/((J455/100)^2),2))</f>
        <v/>
      </c>
      <c r="AA455">
        <f>IF(I455="","",ROUND(IF(K455="",0,K455)+IF(L455="",0,L455)+IF(O455="",0,O455)+IF(P455="",0,P455)+IF(Q455="",0,Q455)+IF(R455="",0,R455),1))</f>
        <v/>
      </c>
      <c r="AB455">
        <f>IF(I455="","",ROUND(IF(K455="",0,K455)+IF(L455="",0,L455)+IF(M455="",0,M455)+IF(N455="",0,N455)+IF(O455="",0,O455)+IF(P455="",0,P455)+IF(Q455="",0,Q455)+IF(R455="",0,R455),1))</f>
        <v/>
      </c>
      <c r="AD455">
        <f>IF(A455="","",A455&amp;"-"&amp;TEXT(C455,"yyyymmdd"))</f>
        <v/>
      </c>
    </row>
    <row r="456">
      <c r="B456">
        <f>IFERROR(INDEX(TablaDeportistas[primerApellido],MATCH(A456,TablaDeportistas[ID_Deportista],0))&amp;" "&amp;INDEX(TablaDeportistas[nombres],MATCH(A456,TablaDeportistas[ID_Deportista],0)),"")</f>
        <v/>
      </c>
      <c r="Z456">
        <f>IF(OR(I456="",J456=""),"",ROUND(I456/((J456/100)^2),2))</f>
        <v/>
      </c>
      <c r="AA456">
        <f>IF(I456="","",ROUND(IF(K456="",0,K456)+IF(L456="",0,L456)+IF(O456="",0,O456)+IF(P456="",0,P456)+IF(Q456="",0,Q456)+IF(R456="",0,R456),1))</f>
        <v/>
      </c>
      <c r="AB456">
        <f>IF(I456="","",ROUND(IF(K456="",0,K456)+IF(L456="",0,L456)+IF(M456="",0,M456)+IF(N456="",0,N456)+IF(O456="",0,O456)+IF(P456="",0,P456)+IF(Q456="",0,Q456)+IF(R456="",0,R456),1))</f>
        <v/>
      </c>
      <c r="AD456">
        <f>IF(A456="","",A456&amp;"-"&amp;TEXT(C456,"yyyymmdd"))</f>
        <v/>
      </c>
    </row>
    <row r="457">
      <c r="B457">
        <f>IFERROR(INDEX(TablaDeportistas[primerApellido],MATCH(A457,TablaDeportistas[ID_Deportista],0))&amp;" "&amp;INDEX(TablaDeportistas[nombres],MATCH(A457,TablaDeportistas[ID_Deportista],0)),"")</f>
        <v/>
      </c>
      <c r="Z457">
        <f>IF(OR(I457="",J457=""),"",ROUND(I457/((J457/100)^2),2))</f>
        <v/>
      </c>
      <c r="AA457">
        <f>IF(I457="","",ROUND(IF(K457="",0,K457)+IF(L457="",0,L457)+IF(O457="",0,O457)+IF(P457="",0,P457)+IF(Q457="",0,Q457)+IF(R457="",0,R457),1))</f>
        <v/>
      </c>
      <c r="AB457">
        <f>IF(I457="","",ROUND(IF(K457="",0,K457)+IF(L457="",0,L457)+IF(M457="",0,M457)+IF(N457="",0,N457)+IF(O457="",0,O457)+IF(P457="",0,P457)+IF(Q457="",0,Q457)+IF(R457="",0,R457),1))</f>
        <v/>
      </c>
      <c r="AD457">
        <f>IF(A457="","",A457&amp;"-"&amp;TEXT(C457,"yyyymmdd"))</f>
        <v/>
      </c>
    </row>
    <row r="458">
      <c r="B458">
        <f>IFERROR(INDEX(TablaDeportistas[primerApellido],MATCH(A458,TablaDeportistas[ID_Deportista],0))&amp;" "&amp;INDEX(TablaDeportistas[nombres],MATCH(A458,TablaDeportistas[ID_Deportista],0)),"")</f>
        <v/>
      </c>
      <c r="Z458">
        <f>IF(OR(I458="",J458=""),"",ROUND(I458/((J458/100)^2),2))</f>
        <v/>
      </c>
      <c r="AA458">
        <f>IF(I458="","",ROUND(IF(K458="",0,K458)+IF(L458="",0,L458)+IF(O458="",0,O458)+IF(P458="",0,P458)+IF(Q458="",0,Q458)+IF(R458="",0,R458),1))</f>
        <v/>
      </c>
      <c r="AB458">
        <f>IF(I458="","",ROUND(IF(K458="",0,K458)+IF(L458="",0,L458)+IF(M458="",0,M458)+IF(N458="",0,N458)+IF(O458="",0,O458)+IF(P458="",0,P458)+IF(Q458="",0,Q458)+IF(R458="",0,R458),1))</f>
        <v/>
      </c>
      <c r="AD458">
        <f>IF(A458="","",A458&amp;"-"&amp;TEXT(C458,"yyyymmdd"))</f>
        <v/>
      </c>
    </row>
    <row r="459">
      <c r="B459">
        <f>IFERROR(INDEX(TablaDeportistas[primerApellido],MATCH(A459,TablaDeportistas[ID_Deportista],0))&amp;" "&amp;INDEX(TablaDeportistas[nombres],MATCH(A459,TablaDeportistas[ID_Deportista],0)),"")</f>
        <v/>
      </c>
      <c r="Z459">
        <f>IF(OR(I459="",J459=""),"",ROUND(I459/((J459/100)^2),2))</f>
        <v/>
      </c>
      <c r="AA459">
        <f>IF(I459="","",ROUND(IF(K459="",0,K459)+IF(L459="",0,L459)+IF(O459="",0,O459)+IF(P459="",0,P459)+IF(Q459="",0,Q459)+IF(R459="",0,R459),1))</f>
        <v/>
      </c>
      <c r="AB459">
        <f>IF(I459="","",ROUND(IF(K459="",0,K459)+IF(L459="",0,L459)+IF(M459="",0,M459)+IF(N459="",0,N459)+IF(O459="",0,O459)+IF(P459="",0,P459)+IF(Q459="",0,Q459)+IF(R459="",0,R459),1))</f>
        <v/>
      </c>
      <c r="AD459">
        <f>IF(A459="","",A459&amp;"-"&amp;TEXT(C459,"yyyymmdd"))</f>
        <v/>
      </c>
    </row>
    <row r="460">
      <c r="B460">
        <f>IFERROR(INDEX(TablaDeportistas[primerApellido],MATCH(A460,TablaDeportistas[ID_Deportista],0))&amp;" "&amp;INDEX(TablaDeportistas[nombres],MATCH(A460,TablaDeportistas[ID_Deportista],0)),"")</f>
        <v/>
      </c>
      <c r="Z460">
        <f>IF(OR(I460="",J460=""),"",ROUND(I460/((J460/100)^2),2))</f>
        <v/>
      </c>
      <c r="AA460">
        <f>IF(I460="","",ROUND(IF(K460="",0,K460)+IF(L460="",0,L460)+IF(O460="",0,O460)+IF(P460="",0,P460)+IF(Q460="",0,Q460)+IF(R460="",0,R460),1))</f>
        <v/>
      </c>
      <c r="AB460">
        <f>IF(I460="","",ROUND(IF(K460="",0,K460)+IF(L460="",0,L460)+IF(M460="",0,M460)+IF(N460="",0,N460)+IF(O460="",0,O460)+IF(P460="",0,P460)+IF(Q460="",0,Q460)+IF(R460="",0,R460),1))</f>
        <v/>
      </c>
      <c r="AD460">
        <f>IF(A460="","",A460&amp;"-"&amp;TEXT(C460,"yyyymmdd"))</f>
        <v/>
      </c>
    </row>
    <row r="461">
      <c r="B461">
        <f>IFERROR(INDEX(TablaDeportistas[primerApellido],MATCH(A461,TablaDeportistas[ID_Deportista],0))&amp;" "&amp;INDEX(TablaDeportistas[nombres],MATCH(A461,TablaDeportistas[ID_Deportista],0)),"")</f>
        <v/>
      </c>
      <c r="Z461">
        <f>IF(OR(I461="",J461=""),"",ROUND(I461/((J461/100)^2),2))</f>
        <v/>
      </c>
      <c r="AA461">
        <f>IF(I461="","",ROUND(IF(K461="",0,K461)+IF(L461="",0,L461)+IF(O461="",0,O461)+IF(P461="",0,P461)+IF(Q461="",0,Q461)+IF(R461="",0,R461),1))</f>
        <v/>
      </c>
      <c r="AB461">
        <f>IF(I461="","",ROUND(IF(K461="",0,K461)+IF(L461="",0,L461)+IF(M461="",0,M461)+IF(N461="",0,N461)+IF(O461="",0,O461)+IF(P461="",0,P461)+IF(Q461="",0,Q461)+IF(R461="",0,R461),1))</f>
        <v/>
      </c>
      <c r="AD461">
        <f>IF(A461="","",A461&amp;"-"&amp;TEXT(C461,"yyyymmdd"))</f>
        <v/>
      </c>
    </row>
    <row r="462">
      <c r="B462">
        <f>IFERROR(INDEX(TablaDeportistas[primerApellido],MATCH(A462,TablaDeportistas[ID_Deportista],0))&amp;" "&amp;INDEX(TablaDeportistas[nombres],MATCH(A462,TablaDeportistas[ID_Deportista],0)),"")</f>
        <v/>
      </c>
      <c r="Z462">
        <f>IF(OR(I462="",J462=""),"",ROUND(I462/((J462/100)^2),2))</f>
        <v/>
      </c>
      <c r="AA462">
        <f>IF(I462="","",ROUND(IF(K462="",0,K462)+IF(L462="",0,L462)+IF(O462="",0,O462)+IF(P462="",0,P462)+IF(Q462="",0,Q462)+IF(R462="",0,R462),1))</f>
        <v/>
      </c>
      <c r="AB462">
        <f>IF(I462="","",ROUND(IF(K462="",0,K462)+IF(L462="",0,L462)+IF(M462="",0,M462)+IF(N462="",0,N462)+IF(O462="",0,O462)+IF(P462="",0,P462)+IF(Q462="",0,Q462)+IF(R462="",0,R462),1))</f>
        <v/>
      </c>
      <c r="AD462">
        <f>IF(A462="","",A462&amp;"-"&amp;TEXT(C462,"yyyymmdd"))</f>
        <v/>
      </c>
    </row>
    <row r="463">
      <c r="B463">
        <f>IFERROR(INDEX(TablaDeportistas[primerApellido],MATCH(A463,TablaDeportistas[ID_Deportista],0))&amp;" "&amp;INDEX(TablaDeportistas[nombres],MATCH(A463,TablaDeportistas[ID_Deportista],0)),"")</f>
        <v/>
      </c>
      <c r="Z463">
        <f>IF(OR(I463="",J463=""),"",ROUND(I463/((J463/100)^2),2))</f>
        <v/>
      </c>
      <c r="AA463">
        <f>IF(I463="","",ROUND(IF(K463="",0,K463)+IF(L463="",0,L463)+IF(O463="",0,O463)+IF(P463="",0,P463)+IF(Q463="",0,Q463)+IF(R463="",0,R463),1))</f>
        <v/>
      </c>
      <c r="AB463">
        <f>IF(I463="","",ROUND(IF(K463="",0,K463)+IF(L463="",0,L463)+IF(M463="",0,M463)+IF(N463="",0,N463)+IF(O463="",0,O463)+IF(P463="",0,P463)+IF(Q463="",0,Q463)+IF(R463="",0,R463),1))</f>
        <v/>
      </c>
      <c r="AD463">
        <f>IF(A463="","",A463&amp;"-"&amp;TEXT(C463,"yyyymmdd"))</f>
        <v/>
      </c>
    </row>
    <row r="464">
      <c r="B464">
        <f>IFERROR(INDEX(TablaDeportistas[primerApellido],MATCH(A464,TablaDeportistas[ID_Deportista],0))&amp;" "&amp;INDEX(TablaDeportistas[nombres],MATCH(A464,TablaDeportistas[ID_Deportista],0)),"")</f>
        <v/>
      </c>
      <c r="Z464">
        <f>IF(OR(I464="",J464=""),"",ROUND(I464/((J464/100)^2),2))</f>
        <v/>
      </c>
      <c r="AA464">
        <f>IF(I464="","",ROUND(IF(K464="",0,K464)+IF(L464="",0,L464)+IF(O464="",0,O464)+IF(P464="",0,P464)+IF(Q464="",0,Q464)+IF(R464="",0,R464),1))</f>
        <v/>
      </c>
      <c r="AB464">
        <f>IF(I464="","",ROUND(IF(K464="",0,K464)+IF(L464="",0,L464)+IF(M464="",0,M464)+IF(N464="",0,N464)+IF(O464="",0,O464)+IF(P464="",0,P464)+IF(Q464="",0,Q464)+IF(R464="",0,R464),1))</f>
        <v/>
      </c>
      <c r="AD464">
        <f>IF(A464="","",A464&amp;"-"&amp;TEXT(C464,"yyyymmdd"))</f>
        <v/>
      </c>
    </row>
    <row r="465">
      <c r="B465">
        <f>IFERROR(INDEX(TablaDeportistas[primerApellido],MATCH(A465,TablaDeportistas[ID_Deportista],0))&amp;" "&amp;INDEX(TablaDeportistas[nombres],MATCH(A465,TablaDeportistas[ID_Deportista],0)),"")</f>
        <v/>
      </c>
      <c r="Z465">
        <f>IF(OR(I465="",J465=""),"",ROUND(I465/((J465/100)^2),2))</f>
        <v/>
      </c>
      <c r="AA465">
        <f>IF(I465="","",ROUND(IF(K465="",0,K465)+IF(L465="",0,L465)+IF(O465="",0,O465)+IF(P465="",0,P465)+IF(Q465="",0,Q465)+IF(R465="",0,R465),1))</f>
        <v/>
      </c>
      <c r="AB465">
        <f>IF(I465="","",ROUND(IF(K465="",0,K465)+IF(L465="",0,L465)+IF(M465="",0,M465)+IF(N465="",0,N465)+IF(O465="",0,O465)+IF(P465="",0,P465)+IF(Q465="",0,Q465)+IF(R465="",0,R465),1))</f>
        <v/>
      </c>
      <c r="AD465">
        <f>IF(A465="","",A465&amp;"-"&amp;TEXT(C465,"yyyymmdd"))</f>
        <v/>
      </c>
    </row>
    <row r="466">
      <c r="B466">
        <f>IFERROR(INDEX(TablaDeportistas[primerApellido],MATCH(A466,TablaDeportistas[ID_Deportista],0))&amp;" "&amp;INDEX(TablaDeportistas[nombres],MATCH(A466,TablaDeportistas[ID_Deportista],0)),"")</f>
        <v/>
      </c>
      <c r="Z466">
        <f>IF(OR(I466="",J466=""),"",ROUND(I466/((J466/100)^2),2))</f>
        <v/>
      </c>
      <c r="AA466">
        <f>IF(I466="","",ROUND(IF(K466="",0,K466)+IF(L466="",0,L466)+IF(O466="",0,O466)+IF(P466="",0,P466)+IF(Q466="",0,Q466)+IF(R466="",0,R466),1))</f>
        <v/>
      </c>
      <c r="AB466">
        <f>IF(I466="","",ROUND(IF(K466="",0,K466)+IF(L466="",0,L466)+IF(M466="",0,M466)+IF(N466="",0,N466)+IF(O466="",0,O466)+IF(P466="",0,P466)+IF(Q466="",0,Q466)+IF(R466="",0,R466),1))</f>
        <v/>
      </c>
      <c r="AD466">
        <f>IF(A466="","",A466&amp;"-"&amp;TEXT(C466,"yyyymmdd"))</f>
        <v/>
      </c>
    </row>
    <row r="467">
      <c r="B467">
        <f>IFERROR(INDEX(TablaDeportistas[primerApellido],MATCH(A467,TablaDeportistas[ID_Deportista],0))&amp;" "&amp;INDEX(TablaDeportistas[nombres],MATCH(A467,TablaDeportistas[ID_Deportista],0)),"")</f>
        <v/>
      </c>
      <c r="Z467">
        <f>IF(OR(I467="",J467=""),"",ROUND(I467/((J467/100)^2),2))</f>
        <v/>
      </c>
      <c r="AA467">
        <f>IF(I467="","",ROUND(IF(K467="",0,K467)+IF(L467="",0,L467)+IF(O467="",0,O467)+IF(P467="",0,P467)+IF(Q467="",0,Q467)+IF(R467="",0,R467),1))</f>
        <v/>
      </c>
      <c r="AB467">
        <f>IF(I467="","",ROUND(IF(K467="",0,K467)+IF(L467="",0,L467)+IF(M467="",0,M467)+IF(N467="",0,N467)+IF(O467="",0,O467)+IF(P467="",0,P467)+IF(Q467="",0,Q467)+IF(R467="",0,R467),1))</f>
        <v/>
      </c>
      <c r="AD467">
        <f>IF(A467="","",A467&amp;"-"&amp;TEXT(C467,"yyyymmdd"))</f>
        <v/>
      </c>
    </row>
    <row r="468">
      <c r="B468">
        <f>IFERROR(INDEX(TablaDeportistas[primerApellido],MATCH(A468,TablaDeportistas[ID_Deportista],0))&amp;" "&amp;INDEX(TablaDeportistas[nombres],MATCH(A468,TablaDeportistas[ID_Deportista],0)),"")</f>
        <v/>
      </c>
      <c r="Z468">
        <f>IF(OR(I468="",J468=""),"",ROUND(I468/((J468/100)^2),2))</f>
        <v/>
      </c>
      <c r="AA468">
        <f>IF(I468="","",ROUND(IF(K468="",0,K468)+IF(L468="",0,L468)+IF(O468="",0,O468)+IF(P468="",0,P468)+IF(Q468="",0,Q468)+IF(R468="",0,R468),1))</f>
        <v/>
      </c>
      <c r="AB468">
        <f>IF(I468="","",ROUND(IF(K468="",0,K468)+IF(L468="",0,L468)+IF(M468="",0,M468)+IF(N468="",0,N468)+IF(O468="",0,O468)+IF(P468="",0,P468)+IF(Q468="",0,Q468)+IF(R468="",0,R468),1))</f>
        <v/>
      </c>
      <c r="AD468">
        <f>IF(A468="","",A468&amp;"-"&amp;TEXT(C468,"yyyymmdd"))</f>
        <v/>
      </c>
    </row>
    <row r="469">
      <c r="B469">
        <f>IFERROR(INDEX(TablaDeportistas[primerApellido],MATCH(A469,TablaDeportistas[ID_Deportista],0))&amp;" "&amp;INDEX(TablaDeportistas[nombres],MATCH(A469,TablaDeportistas[ID_Deportista],0)),"")</f>
        <v/>
      </c>
      <c r="Z469">
        <f>IF(OR(I469="",J469=""),"",ROUND(I469/((J469/100)^2),2))</f>
        <v/>
      </c>
      <c r="AA469">
        <f>IF(I469="","",ROUND(IF(K469="",0,K469)+IF(L469="",0,L469)+IF(O469="",0,O469)+IF(P469="",0,P469)+IF(Q469="",0,Q469)+IF(R469="",0,R469),1))</f>
        <v/>
      </c>
      <c r="AB469">
        <f>IF(I469="","",ROUND(IF(K469="",0,K469)+IF(L469="",0,L469)+IF(M469="",0,M469)+IF(N469="",0,N469)+IF(O469="",0,O469)+IF(P469="",0,P469)+IF(Q469="",0,Q469)+IF(R469="",0,R469),1))</f>
        <v/>
      </c>
      <c r="AD469">
        <f>IF(A469="","",A469&amp;"-"&amp;TEXT(C469,"yyyymmdd"))</f>
        <v/>
      </c>
    </row>
    <row r="470">
      <c r="B470">
        <f>IFERROR(INDEX(TablaDeportistas[primerApellido],MATCH(A470,TablaDeportistas[ID_Deportista],0))&amp;" "&amp;INDEX(TablaDeportistas[nombres],MATCH(A470,TablaDeportistas[ID_Deportista],0)),"")</f>
        <v/>
      </c>
      <c r="Z470">
        <f>IF(OR(I470="",J470=""),"",ROUND(I470/((J470/100)^2),2))</f>
        <v/>
      </c>
      <c r="AA470">
        <f>IF(I470="","",ROUND(IF(K470="",0,K470)+IF(L470="",0,L470)+IF(O470="",0,O470)+IF(P470="",0,P470)+IF(Q470="",0,Q470)+IF(R470="",0,R470),1))</f>
        <v/>
      </c>
      <c r="AB470">
        <f>IF(I470="","",ROUND(IF(K470="",0,K470)+IF(L470="",0,L470)+IF(M470="",0,M470)+IF(N470="",0,N470)+IF(O470="",0,O470)+IF(P470="",0,P470)+IF(Q470="",0,Q470)+IF(R470="",0,R470),1))</f>
        <v/>
      </c>
      <c r="AD470">
        <f>IF(A470="","",A470&amp;"-"&amp;TEXT(C470,"yyyymmdd"))</f>
        <v/>
      </c>
    </row>
    <row r="471">
      <c r="B471">
        <f>IFERROR(INDEX(TablaDeportistas[primerApellido],MATCH(A471,TablaDeportistas[ID_Deportista],0))&amp;" "&amp;INDEX(TablaDeportistas[nombres],MATCH(A471,TablaDeportistas[ID_Deportista],0)),"")</f>
        <v/>
      </c>
      <c r="Z471">
        <f>IF(OR(I471="",J471=""),"",ROUND(I471/((J471/100)^2),2))</f>
        <v/>
      </c>
      <c r="AA471">
        <f>IF(I471="","",ROUND(IF(K471="",0,K471)+IF(L471="",0,L471)+IF(O471="",0,O471)+IF(P471="",0,P471)+IF(Q471="",0,Q471)+IF(R471="",0,R471),1))</f>
        <v/>
      </c>
      <c r="AB471">
        <f>IF(I471="","",ROUND(IF(K471="",0,K471)+IF(L471="",0,L471)+IF(M471="",0,M471)+IF(N471="",0,N471)+IF(O471="",0,O471)+IF(P471="",0,P471)+IF(Q471="",0,Q471)+IF(R471="",0,R471),1))</f>
        <v/>
      </c>
      <c r="AD471">
        <f>IF(A471="","",A471&amp;"-"&amp;TEXT(C471,"yyyymmdd"))</f>
        <v/>
      </c>
    </row>
    <row r="472">
      <c r="B472">
        <f>IFERROR(INDEX(TablaDeportistas[primerApellido],MATCH(A472,TablaDeportistas[ID_Deportista],0))&amp;" "&amp;INDEX(TablaDeportistas[nombres],MATCH(A472,TablaDeportistas[ID_Deportista],0)),"")</f>
        <v/>
      </c>
      <c r="Z472">
        <f>IF(OR(I472="",J472=""),"",ROUND(I472/((J472/100)^2),2))</f>
        <v/>
      </c>
      <c r="AA472">
        <f>IF(I472="","",ROUND(IF(K472="",0,K472)+IF(L472="",0,L472)+IF(O472="",0,O472)+IF(P472="",0,P472)+IF(Q472="",0,Q472)+IF(R472="",0,R472),1))</f>
        <v/>
      </c>
      <c r="AB472">
        <f>IF(I472="","",ROUND(IF(K472="",0,K472)+IF(L472="",0,L472)+IF(M472="",0,M472)+IF(N472="",0,N472)+IF(O472="",0,O472)+IF(P472="",0,P472)+IF(Q472="",0,Q472)+IF(R472="",0,R472),1))</f>
        <v/>
      </c>
      <c r="AD472">
        <f>IF(A472="","",A472&amp;"-"&amp;TEXT(C472,"yyyymmdd"))</f>
        <v/>
      </c>
    </row>
    <row r="473">
      <c r="B473">
        <f>IFERROR(INDEX(TablaDeportistas[primerApellido],MATCH(A473,TablaDeportistas[ID_Deportista],0))&amp;" "&amp;INDEX(TablaDeportistas[nombres],MATCH(A473,TablaDeportistas[ID_Deportista],0)),"")</f>
        <v/>
      </c>
      <c r="Z473">
        <f>IF(OR(I473="",J473=""),"",ROUND(I473/((J473/100)^2),2))</f>
        <v/>
      </c>
      <c r="AA473">
        <f>IF(I473="","",ROUND(IF(K473="",0,K473)+IF(L473="",0,L473)+IF(O473="",0,O473)+IF(P473="",0,P473)+IF(Q473="",0,Q473)+IF(R473="",0,R473),1))</f>
        <v/>
      </c>
      <c r="AB473">
        <f>IF(I473="","",ROUND(IF(K473="",0,K473)+IF(L473="",0,L473)+IF(M473="",0,M473)+IF(N473="",0,N473)+IF(O473="",0,O473)+IF(P473="",0,P473)+IF(Q473="",0,Q473)+IF(R473="",0,R473),1))</f>
        <v/>
      </c>
      <c r="AD473">
        <f>IF(A473="","",A473&amp;"-"&amp;TEXT(C473,"yyyymmdd"))</f>
        <v/>
      </c>
    </row>
    <row r="474">
      <c r="B474">
        <f>IFERROR(INDEX(TablaDeportistas[primerApellido],MATCH(A474,TablaDeportistas[ID_Deportista],0))&amp;" "&amp;INDEX(TablaDeportistas[nombres],MATCH(A474,TablaDeportistas[ID_Deportista],0)),"")</f>
        <v/>
      </c>
      <c r="Z474">
        <f>IF(OR(I474="",J474=""),"",ROUND(I474/((J474/100)^2),2))</f>
        <v/>
      </c>
      <c r="AA474">
        <f>IF(I474="","",ROUND(IF(K474="",0,K474)+IF(L474="",0,L474)+IF(O474="",0,O474)+IF(P474="",0,P474)+IF(Q474="",0,Q474)+IF(R474="",0,R474),1))</f>
        <v/>
      </c>
      <c r="AB474">
        <f>IF(I474="","",ROUND(IF(K474="",0,K474)+IF(L474="",0,L474)+IF(M474="",0,M474)+IF(N474="",0,N474)+IF(O474="",0,O474)+IF(P474="",0,P474)+IF(Q474="",0,Q474)+IF(R474="",0,R474),1))</f>
        <v/>
      </c>
      <c r="AD474">
        <f>IF(A474="","",A474&amp;"-"&amp;TEXT(C474,"yyyymmdd"))</f>
        <v/>
      </c>
    </row>
    <row r="475">
      <c r="B475">
        <f>IFERROR(INDEX(TablaDeportistas[primerApellido],MATCH(A475,TablaDeportistas[ID_Deportista],0))&amp;" "&amp;INDEX(TablaDeportistas[nombres],MATCH(A475,TablaDeportistas[ID_Deportista],0)),"")</f>
        <v/>
      </c>
      <c r="Z475">
        <f>IF(OR(I475="",J475=""),"",ROUND(I475/((J475/100)^2),2))</f>
        <v/>
      </c>
      <c r="AA475">
        <f>IF(I475="","",ROUND(IF(K475="",0,K475)+IF(L475="",0,L475)+IF(O475="",0,O475)+IF(P475="",0,P475)+IF(Q475="",0,Q475)+IF(R475="",0,R475),1))</f>
        <v/>
      </c>
      <c r="AB475">
        <f>IF(I475="","",ROUND(IF(K475="",0,K475)+IF(L475="",0,L475)+IF(M475="",0,M475)+IF(N475="",0,N475)+IF(O475="",0,O475)+IF(P475="",0,P475)+IF(Q475="",0,Q475)+IF(R475="",0,R475),1))</f>
        <v/>
      </c>
      <c r="AD475">
        <f>IF(A475="","",A475&amp;"-"&amp;TEXT(C475,"yyyymmdd"))</f>
        <v/>
      </c>
    </row>
    <row r="476">
      <c r="B476">
        <f>IFERROR(INDEX(TablaDeportistas[primerApellido],MATCH(A476,TablaDeportistas[ID_Deportista],0))&amp;" "&amp;INDEX(TablaDeportistas[nombres],MATCH(A476,TablaDeportistas[ID_Deportista],0)),"")</f>
        <v/>
      </c>
      <c r="Z476">
        <f>IF(OR(I476="",J476=""),"",ROUND(I476/((J476/100)^2),2))</f>
        <v/>
      </c>
      <c r="AA476">
        <f>IF(I476="","",ROUND(IF(K476="",0,K476)+IF(L476="",0,L476)+IF(O476="",0,O476)+IF(P476="",0,P476)+IF(Q476="",0,Q476)+IF(R476="",0,R476),1))</f>
        <v/>
      </c>
      <c r="AB476">
        <f>IF(I476="","",ROUND(IF(K476="",0,K476)+IF(L476="",0,L476)+IF(M476="",0,M476)+IF(N476="",0,N476)+IF(O476="",0,O476)+IF(P476="",0,P476)+IF(Q476="",0,Q476)+IF(R476="",0,R476),1))</f>
        <v/>
      </c>
      <c r="AD476">
        <f>IF(A476="","",A476&amp;"-"&amp;TEXT(C476,"yyyymmdd"))</f>
        <v/>
      </c>
    </row>
    <row r="477">
      <c r="B477">
        <f>IFERROR(INDEX(TablaDeportistas[primerApellido],MATCH(A477,TablaDeportistas[ID_Deportista],0))&amp;" "&amp;INDEX(TablaDeportistas[nombres],MATCH(A477,TablaDeportistas[ID_Deportista],0)),"")</f>
        <v/>
      </c>
      <c r="Z477">
        <f>IF(OR(I477="",J477=""),"",ROUND(I477/((J477/100)^2),2))</f>
        <v/>
      </c>
      <c r="AA477">
        <f>IF(I477="","",ROUND(IF(K477="",0,K477)+IF(L477="",0,L477)+IF(O477="",0,O477)+IF(P477="",0,P477)+IF(Q477="",0,Q477)+IF(R477="",0,R477),1))</f>
        <v/>
      </c>
      <c r="AB477">
        <f>IF(I477="","",ROUND(IF(K477="",0,K477)+IF(L477="",0,L477)+IF(M477="",0,M477)+IF(N477="",0,N477)+IF(O477="",0,O477)+IF(P477="",0,P477)+IF(Q477="",0,Q477)+IF(R477="",0,R477),1))</f>
        <v/>
      </c>
      <c r="AD477">
        <f>IF(A477="","",A477&amp;"-"&amp;TEXT(C477,"yyyymmdd"))</f>
        <v/>
      </c>
    </row>
    <row r="478">
      <c r="B478">
        <f>IFERROR(INDEX(TablaDeportistas[primerApellido],MATCH(A478,TablaDeportistas[ID_Deportista],0))&amp;" "&amp;INDEX(TablaDeportistas[nombres],MATCH(A478,TablaDeportistas[ID_Deportista],0)),"")</f>
        <v/>
      </c>
      <c r="Z478">
        <f>IF(OR(I478="",J478=""),"",ROUND(I478/((J478/100)^2),2))</f>
        <v/>
      </c>
      <c r="AA478">
        <f>IF(I478="","",ROUND(IF(K478="",0,K478)+IF(L478="",0,L478)+IF(O478="",0,O478)+IF(P478="",0,P478)+IF(Q478="",0,Q478)+IF(R478="",0,R478),1))</f>
        <v/>
      </c>
      <c r="AB478">
        <f>IF(I478="","",ROUND(IF(K478="",0,K478)+IF(L478="",0,L478)+IF(M478="",0,M478)+IF(N478="",0,N478)+IF(O478="",0,O478)+IF(P478="",0,P478)+IF(Q478="",0,Q478)+IF(R478="",0,R478),1))</f>
        <v/>
      </c>
      <c r="AD478">
        <f>IF(A478="","",A478&amp;"-"&amp;TEXT(C478,"yyyymmdd"))</f>
        <v/>
      </c>
    </row>
    <row r="479">
      <c r="B479">
        <f>IFERROR(INDEX(TablaDeportistas[primerApellido],MATCH(A479,TablaDeportistas[ID_Deportista],0))&amp;" "&amp;INDEX(TablaDeportistas[nombres],MATCH(A479,TablaDeportistas[ID_Deportista],0)),"")</f>
        <v/>
      </c>
      <c r="Z479">
        <f>IF(OR(I479="",J479=""),"",ROUND(I479/((J479/100)^2),2))</f>
        <v/>
      </c>
      <c r="AA479">
        <f>IF(I479="","",ROUND(IF(K479="",0,K479)+IF(L479="",0,L479)+IF(O479="",0,O479)+IF(P479="",0,P479)+IF(Q479="",0,Q479)+IF(R479="",0,R479),1))</f>
        <v/>
      </c>
      <c r="AB479">
        <f>IF(I479="","",ROUND(IF(K479="",0,K479)+IF(L479="",0,L479)+IF(M479="",0,M479)+IF(N479="",0,N479)+IF(O479="",0,O479)+IF(P479="",0,P479)+IF(Q479="",0,Q479)+IF(R479="",0,R479),1))</f>
        <v/>
      </c>
      <c r="AD479">
        <f>IF(A479="","",A479&amp;"-"&amp;TEXT(C479,"yyyymmdd"))</f>
        <v/>
      </c>
    </row>
    <row r="480">
      <c r="B480">
        <f>IFERROR(INDEX(TablaDeportistas[primerApellido],MATCH(A480,TablaDeportistas[ID_Deportista],0))&amp;" "&amp;INDEX(TablaDeportistas[nombres],MATCH(A480,TablaDeportistas[ID_Deportista],0)),"")</f>
        <v/>
      </c>
      <c r="Z480">
        <f>IF(OR(I480="",J480=""),"",ROUND(I480/((J480/100)^2),2))</f>
        <v/>
      </c>
      <c r="AA480">
        <f>IF(I480="","",ROUND(IF(K480="",0,K480)+IF(L480="",0,L480)+IF(O480="",0,O480)+IF(P480="",0,P480)+IF(Q480="",0,Q480)+IF(R480="",0,R480),1))</f>
        <v/>
      </c>
      <c r="AB480">
        <f>IF(I480="","",ROUND(IF(K480="",0,K480)+IF(L480="",0,L480)+IF(M480="",0,M480)+IF(N480="",0,N480)+IF(O480="",0,O480)+IF(P480="",0,P480)+IF(Q480="",0,Q480)+IF(R480="",0,R480),1))</f>
        <v/>
      </c>
      <c r="AD480">
        <f>IF(A480="","",A480&amp;"-"&amp;TEXT(C480,"yyyymmdd"))</f>
        <v/>
      </c>
    </row>
    <row r="481">
      <c r="B481">
        <f>IFERROR(INDEX(TablaDeportistas[primerApellido],MATCH(A481,TablaDeportistas[ID_Deportista],0))&amp;" "&amp;INDEX(TablaDeportistas[nombres],MATCH(A481,TablaDeportistas[ID_Deportista],0)),"")</f>
        <v/>
      </c>
      <c r="Z481">
        <f>IF(OR(I481="",J481=""),"",ROUND(I481/((J481/100)^2),2))</f>
        <v/>
      </c>
      <c r="AA481">
        <f>IF(I481="","",ROUND(IF(K481="",0,K481)+IF(L481="",0,L481)+IF(O481="",0,O481)+IF(P481="",0,P481)+IF(Q481="",0,Q481)+IF(R481="",0,R481),1))</f>
        <v/>
      </c>
      <c r="AB481">
        <f>IF(I481="","",ROUND(IF(K481="",0,K481)+IF(L481="",0,L481)+IF(M481="",0,M481)+IF(N481="",0,N481)+IF(O481="",0,O481)+IF(P481="",0,P481)+IF(Q481="",0,Q481)+IF(R481="",0,R481),1))</f>
        <v/>
      </c>
      <c r="AD481">
        <f>IF(A481="","",A481&amp;"-"&amp;TEXT(C481,"yyyymmdd"))</f>
        <v/>
      </c>
    </row>
    <row r="482">
      <c r="B482">
        <f>IFERROR(INDEX(TablaDeportistas[primerApellido],MATCH(A482,TablaDeportistas[ID_Deportista],0))&amp;" "&amp;INDEX(TablaDeportistas[nombres],MATCH(A482,TablaDeportistas[ID_Deportista],0)),"")</f>
        <v/>
      </c>
      <c r="Z482">
        <f>IF(OR(I482="",J482=""),"",ROUND(I482/((J482/100)^2),2))</f>
        <v/>
      </c>
      <c r="AA482">
        <f>IF(I482="","",ROUND(IF(K482="",0,K482)+IF(L482="",0,L482)+IF(O482="",0,O482)+IF(P482="",0,P482)+IF(Q482="",0,Q482)+IF(R482="",0,R482),1))</f>
        <v/>
      </c>
      <c r="AB482">
        <f>IF(I482="","",ROUND(IF(K482="",0,K482)+IF(L482="",0,L482)+IF(M482="",0,M482)+IF(N482="",0,N482)+IF(O482="",0,O482)+IF(P482="",0,P482)+IF(Q482="",0,Q482)+IF(R482="",0,R482),1))</f>
        <v/>
      </c>
      <c r="AD482">
        <f>IF(A482="","",A482&amp;"-"&amp;TEXT(C482,"yyyymmdd"))</f>
        <v/>
      </c>
    </row>
    <row r="483">
      <c r="B483">
        <f>IFERROR(INDEX(TablaDeportistas[primerApellido],MATCH(A483,TablaDeportistas[ID_Deportista],0))&amp;" "&amp;INDEX(TablaDeportistas[nombres],MATCH(A483,TablaDeportistas[ID_Deportista],0)),"")</f>
        <v/>
      </c>
      <c r="Z483">
        <f>IF(OR(I483="",J483=""),"",ROUND(I483/((J483/100)^2),2))</f>
        <v/>
      </c>
      <c r="AA483">
        <f>IF(I483="","",ROUND(IF(K483="",0,K483)+IF(L483="",0,L483)+IF(O483="",0,O483)+IF(P483="",0,P483)+IF(Q483="",0,Q483)+IF(R483="",0,R483),1))</f>
        <v/>
      </c>
      <c r="AB483">
        <f>IF(I483="","",ROUND(IF(K483="",0,K483)+IF(L483="",0,L483)+IF(M483="",0,M483)+IF(N483="",0,N483)+IF(O483="",0,O483)+IF(P483="",0,P483)+IF(Q483="",0,Q483)+IF(R483="",0,R483),1))</f>
        <v/>
      </c>
      <c r="AD483">
        <f>IF(A483="","",A483&amp;"-"&amp;TEXT(C483,"yyyymmdd"))</f>
        <v/>
      </c>
    </row>
    <row r="484">
      <c r="B484">
        <f>IFERROR(INDEX(TablaDeportistas[primerApellido],MATCH(A484,TablaDeportistas[ID_Deportista],0))&amp;" "&amp;INDEX(TablaDeportistas[nombres],MATCH(A484,TablaDeportistas[ID_Deportista],0)),"")</f>
        <v/>
      </c>
      <c r="Z484">
        <f>IF(OR(I484="",J484=""),"",ROUND(I484/((J484/100)^2),2))</f>
        <v/>
      </c>
      <c r="AA484">
        <f>IF(I484="","",ROUND(IF(K484="",0,K484)+IF(L484="",0,L484)+IF(O484="",0,O484)+IF(P484="",0,P484)+IF(Q484="",0,Q484)+IF(R484="",0,R484),1))</f>
        <v/>
      </c>
      <c r="AB484">
        <f>IF(I484="","",ROUND(IF(K484="",0,K484)+IF(L484="",0,L484)+IF(M484="",0,M484)+IF(N484="",0,N484)+IF(O484="",0,O484)+IF(P484="",0,P484)+IF(Q484="",0,Q484)+IF(R484="",0,R484),1))</f>
        <v/>
      </c>
      <c r="AD484">
        <f>IF(A484="","",A484&amp;"-"&amp;TEXT(C484,"yyyymmdd"))</f>
        <v/>
      </c>
    </row>
    <row r="485">
      <c r="B485">
        <f>IFERROR(INDEX(TablaDeportistas[primerApellido],MATCH(A485,TablaDeportistas[ID_Deportista],0))&amp;" "&amp;INDEX(TablaDeportistas[nombres],MATCH(A485,TablaDeportistas[ID_Deportista],0)),"")</f>
        <v/>
      </c>
      <c r="Z485">
        <f>IF(OR(I485="",J485=""),"",ROUND(I485/((J485/100)^2),2))</f>
        <v/>
      </c>
      <c r="AA485">
        <f>IF(I485="","",ROUND(IF(K485="",0,K485)+IF(L485="",0,L485)+IF(O485="",0,O485)+IF(P485="",0,P485)+IF(Q485="",0,Q485)+IF(R485="",0,R485),1))</f>
        <v/>
      </c>
      <c r="AB485">
        <f>IF(I485="","",ROUND(IF(K485="",0,K485)+IF(L485="",0,L485)+IF(M485="",0,M485)+IF(N485="",0,N485)+IF(O485="",0,O485)+IF(P485="",0,P485)+IF(Q485="",0,Q485)+IF(R485="",0,R485),1))</f>
        <v/>
      </c>
      <c r="AD485">
        <f>IF(A485="","",A485&amp;"-"&amp;TEXT(C485,"yyyymmdd"))</f>
        <v/>
      </c>
    </row>
    <row r="486">
      <c r="B486">
        <f>IFERROR(INDEX(TablaDeportistas[primerApellido],MATCH(A486,TablaDeportistas[ID_Deportista],0))&amp;" "&amp;INDEX(TablaDeportistas[nombres],MATCH(A486,TablaDeportistas[ID_Deportista],0)),"")</f>
        <v/>
      </c>
      <c r="Z486">
        <f>IF(OR(I486="",J486=""),"",ROUND(I486/((J486/100)^2),2))</f>
        <v/>
      </c>
      <c r="AA486">
        <f>IF(I486="","",ROUND(IF(K486="",0,K486)+IF(L486="",0,L486)+IF(O486="",0,O486)+IF(P486="",0,P486)+IF(Q486="",0,Q486)+IF(R486="",0,R486),1))</f>
        <v/>
      </c>
      <c r="AB486">
        <f>IF(I486="","",ROUND(IF(K486="",0,K486)+IF(L486="",0,L486)+IF(M486="",0,M486)+IF(N486="",0,N486)+IF(O486="",0,O486)+IF(P486="",0,P486)+IF(Q486="",0,Q486)+IF(R486="",0,R486),1))</f>
        <v/>
      </c>
      <c r="AD486">
        <f>IF(A486="","",A486&amp;"-"&amp;TEXT(C486,"yyyymmdd"))</f>
        <v/>
      </c>
    </row>
    <row r="487">
      <c r="B487">
        <f>IFERROR(INDEX(TablaDeportistas[primerApellido],MATCH(A487,TablaDeportistas[ID_Deportista],0))&amp;" "&amp;INDEX(TablaDeportistas[nombres],MATCH(A487,TablaDeportistas[ID_Deportista],0)),"")</f>
        <v/>
      </c>
      <c r="Z487">
        <f>IF(OR(I487="",J487=""),"",ROUND(I487/((J487/100)^2),2))</f>
        <v/>
      </c>
      <c r="AA487">
        <f>IF(I487="","",ROUND(IF(K487="",0,K487)+IF(L487="",0,L487)+IF(O487="",0,O487)+IF(P487="",0,P487)+IF(Q487="",0,Q487)+IF(R487="",0,R487),1))</f>
        <v/>
      </c>
      <c r="AB487">
        <f>IF(I487="","",ROUND(IF(K487="",0,K487)+IF(L487="",0,L487)+IF(M487="",0,M487)+IF(N487="",0,N487)+IF(O487="",0,O487)+IF(P487="",0,P487)+IF(Q487="",0,Q487)+IF(R487="",0,R487),1))</f>
        <v/>
      </c>
      <c r="AD487">
        <f>IF(A487="","",A487&amp;"-"&amp;TEXT(C487,"yyyymmdd"))</f>
        <v/>
      </c>
    </row>
    <row r="488">
      <c r="B488">
        <f>IFERROR(INDEX(TablaDeportistas[primerApellido],MATCH(A488,TablaDeportistas[ID_Deportista],0))&amp;" "&amp;INDEX(TablaDeportistas[nombres],MATCH(A488,TablaDeportistas[ID_Deportista],0)),"")</f>
        <v/>
      </c>
      <c r="Z488">
        <f>IF(OR(I488="",J488=""),"",ROUND(I488/((J488/100)^2),2))</f>
        <v/>
      </c>
      <c r="AA488">
        <f>IF(I488="","",ROUND(IF(K488="",0,K488)+IF(L488="",0,L488)+IF(O488="",0,O488)+IF(P488="",0,P488)+IF(Q488="",0,Q488)+IF(R488="",0,R488),1))</f>
        <v/>
      </c>
      <c r="AB488">
        <f>IF(I488="","",ROUND(IF(K488="",0,K488)+IF(L488="",0,L488)+IF(M488="",0,M488)+IF(N488="",0,N488)+IF(O488="",0,O488)+IF(P488="",0,P488)+IF(Q488="",0,Q488)+IF(R488="",0,R488),1))</f>
        <v/>
      </c>
      <c r="AD488">
        <f>IF(A488="","",A488&amp;"-"&amp;TEXT(C488,"yyyymmdd"))</f>
        <v/>
      </c>
    </row>
    <row r="489">
      <c r="B489">
        <f>IFERROR(INDEX(TablaDeportistas[primerApellido],MATCH(A489,TablaDeportistas[ID_Deportista],0))&amp;" "&amp;INDEX(TablaDeportistas[nombres],MATCH(A489,TablaDeportistas[ID_Deportista],0)),"")</f>
        <v/>
      </c>
      <c r="Z489">
        <f>IF(OR(I489="",J489=""),"",ROUND(I489/((J489/100)^2),2))</f>
        <v/>
      </c>
      <c r="AA489">
        <f>IF(I489="","",ROUND(IF(K489="",0,K489)+IF(L489="",0,L489)+IF(O489="",0,O489)+IF(P489="",0,P489)+IF(Q489="",0,Q489)+IF(R489="",0,R489),1))</f>
        <v/>
      </c>
      <c r="AB489">
        <f>IF(I489="","",ROUND(IF(K489="",0,K489)+IF(L489="",0,L489)+IF(M489="",0,M489)+IF(N489="",0,N489)+IF(O489="",0,O489)+IF(P489="",0,P489)+IF(Q489="",0,Q489)+IF(R489="",0,R489),1))</f>
        <v/>
      </c>
      <c r="AD489">
        <f>IF(A489="","",A489&amp;"-"&amp;TEXT(C489,"yyyymmdd"))</f>
        <v/>
      </c>
    </row>
    <row r="490">
      <c r="B490">
        <f>IFERROR(INDEX(TablaDeportistas[primerApellido],MATCH(A490,TablaDeportistas[ID_Deportista],0))&amp;" "&amp;INDEX(TablaDeportistas[nombres],MATCH(A490,TablaDeportistas[ID_Deportista],0)),"")</f>
        <v/>
      </c>
      <c r="Z490">
        <f>IF(OR(I490="",J490=""),"",ROUND(I490/((J490/100)^2),2))</f>
        <v/>
      </c>
      <c r="AA490">
        <f>IF(I490="","",ROUND(IF(K490="",0,K490)+IF(L490="",0,L490)+IF(O490="",0,O490)+IF(P490="",0,P490)+IF(Q490="",0,Q490)+IF(R490="",0,R490),1))</f>
        <v/>
      </c>
      <c r="AB490">
        <f>IF(I490="","",ROUND(IF(K490="",0,K490)+IF(L490="",0,L490)+IF(M490="",0,M490)+IF(N490="",0,N490)+IF(O490="",0,O490)+IF(P490="",0,P490)+IF(Q490="",0,Q490)+IF(R490="",0,R490),1))</f>
        <v/>
      </c>
      <c r="AD490">
        <f>IF(A490="","",A490&amp;"-"&amp;TEXT(C490,"yyyymmdd"))</f>
        <v/>
      </c>
    </row>
    <row r="491">
      <c r="B491">
        <f>IFERROR(INDEX(TablaDeportistas[primerApellido],MATCH(A491,TablaDeportistas[ID_Deportista],0))&amp;" "&amp;INDEX(TablaDeportistas[nombres],MATCH(A491,TablaDeportistas[ID_Deportista],0)),"")</f>
        <v/>
      </c>
      <c r="Z491">
        <f>IF(OR(I491="",J491=""),"",ROUND(I491/((J491/100)^2),2))</f>
        <v/>
      </c>
      <c r="AA491">
        <f>IF(I491="","",ROUND(IF(K491="",0,K491)+IF(L491="",0,L491)+IF(O491="",0,O491)+IF(P491="",0,P491)+IF(Q491="",0,Q491)+IF(R491="",0,R491),1))</f>
        <v/>
      </c>
      <c r="AB491">
        <f>IF(I491="","",ROUND(IF(K491="",0,K491)+IF(L491="",0,L491)+IF(M491="",0,M491)+IF(N491="",0,N491)+IF(O491="",0,O491)+IF(P491="",0,P491)+IF(Q491="",0,Q491)+IF(R491="",0,R491),1))</f>
        <v/>
      </c>
      <c r="AD491">
        <f>IF(A491="","",A491&amp;"-"&amp;TEXT(C491,"yyyymmdd"))</f>
        <v/>
      </c>
    </row>
    <row r="492">
      <c r="B492">
        <f>IFERROR(INDEX(TablaDeportistas[primerApellido],MATCH(A492,TablaDeportistas[ID_Deportista],0))&amp;" "&amp;INDEX(TablaDeportistas[nombres],MATCH(A492,TablaDeportistas[ID_Deportista],0)),"")</f>
        <v/>
      </c>
      <c r="Z492">
        <f>IF(OR(I492="",J492=""),"",ROUND(I492/((J492/100)^2),2))</f>
        <v/>
      </c>
      <c r="AA492">
        <f>IF(I492="","",ROUND(IF(K492="",0,K492)+IF(L492="",0,L492)+IF(O492="",0,O492)+IF(P492="",0,P492)+IF(Q492="",0,Q492)+IF(R492="",0,R492),1))</f>
        <v/>
      </c>
      <c r="AB492">
        <f>IF(I492="","",ROUND(IF(K492="",0,K492)+IF(L492="",0,L492)+IF(M492="",0,M492)+IF(N492="",0,N492)+IF(O492="",0,O492)+IF(P492="",0,P492)+IF(Q492="",0,Q492)+IF(R492="",0,R492),1))</f>
        <v/>
      </c>
      <c r="AD492">
        <f>IF(A492="","",A492&amp;"-"&amp;TEXT(C492,"yyyymmdd"))</f>
        <v/>
      </c>
    </row>
    <row r="493">
      <c r="B493">
        <f>IFERROR(INDEX(TablaDeportistas[primerApellido],MATCH(A493,TablaDeportistas[ID_Deportista],0))&amp;" "&amp;INDEX(TablaDeportistas[nombres],MATCH(A493,TablaDeportistas[ID_Deportista],0)),"")</f>
        <v/>
      </c>
      <c r="Z493">
        <f>IF(OR(I493="",J493=""),"",ROUND(I493/((J493/100)^2),2))</f>
        <v/>
      </c>
      <c r="AA493">
        <f>IF(I493="","",ROUND(IF(K493="",0,K493)+IF(L493="",0,L493)+IF(O493="",0,O493)+IF(P493="",0,P493)+IF(Q493="",0,Q493)+IF(R493="",0,R493),1))</f>
        <v/>
      </c>
      <c r="AB493">
        <f>IF(I493="","",ROUND(IF(K493="",0,K493)+IF(L493="",0,L493)+IF(M493="",0,M493)+IF(N493="",0,N493)+IF(O493="",0,O493)+IF(P493="",0,P493)+IF(Q493="",0,Q493)+IF(R493="",0,R493),1))</f>
        <v/>
      </c>
      <c r="AD493">
        <f>IF(A493="","",A493&amp;"-"&amp;TEXT(C493,"yyyymmdd"))</f>
        <v/>
      </c>
    </row>
    <row r="494">
      <c r="B494">
        <f>IFERROR(INDEX(TablaDeportistas[primerApellido],MATCH(A494,TablaDeportistas[ID_Deportista],0))&amp;" "&amp;INDEX(TablaDeportistas[nombres],MATCH(A494,TablaDeportistas[ID_Deportista],0)),"")</f>
        <v/>
      </c>
      <c r="Z494">
        <f>IF(OR(I494="",J494=""),"",ROUND(I494/((J494/100)^2),2))</f>
        <v/>
      </c>
      <c r="AA494">
        <f>IF(I494="","",ROUND(IF(K494="",0,K494)+IF(L494="",0,L494)+IF(O494="",0,O494)+IF(P494="",0,P494)+IF(Q494="",0,Q494)+IF(R494="",0,R494),1))</f>
        <v/>
      </c>
      <c r="AB494">
        <f>IF(I494="","",ROUND(IF(K494="",0,K494)+IF(L494="",0,L494)+IF(M494="",0,M494)+IF(N494="",0,N494)+IF(O494="",0,O494)+IF(P494="",0,P494)+IF(Q494="",0,Q494)+IF(R494="",0,R494),1))</f>
        <v/>
      </c>
      <c r="AD494">
        <f>IF(A494="","",A494&amp;"-"&amp;TEXT(C494,"yyyymmdd"))</f>
        <v/>
      </c>
    </row>
    <row r="495">
      <c r="B495">
        <f>IFERROR(INDEX(TablaDeportistas[primerApellido],MATCH(A495,TablaDeportistas[ID_Deportista],0))&amp;" "&amp;INDEX(TablaDeportistas[nombres],MATCH(A495,TablaDeportistas[ID_Deportista],0)),"")</f>
        <v/>
      </c>
      <c r="Z495">
        <f>IF(OR(I495="",J495=""),"",ROUND(I495/((J495/100)^2),2))</f>
        <v/>
      </c>
      <c r="AA495">
        <f>IF(I495="","",ROUND(IF(K495="",0,K495)+IF(L495="",0,L495)+IF(O495="",0,O495)+IF(P495="",0,P495)+IF(Q495="",0,Q495)+IF(R495="",0,R495),1))</f>
        <v/>
      </c>
      <c r="AB495">
        <f>IF(I495="","",ROUND(IF(K495="",0,K495)+IF(L495="",0,L495)+IF(M495="",0,M495)+IF(N495="",0,N495)+IF(O495="",0,O495)+IF(P495="",0,P495)+IF(Q495="",0,Q495)+IF(R495="",0,R495),1))</f>
        <v/>
      </c>
      <c r="AD495">
        <f>IF(A495="","",A495&amp;"-"&amp;TEXT(C495,"yyyymmdd"))</f>
        <v/>
      </c>
    </row>
    <row r="496">
      <c r="B496">
        <f>IFERROR(INDEX(TablaDeportistas[primerApellido],MATCH(A496,TablaDeportistas[ID_Deportista],0))&amp;" "&amp;INDEX(TablaDeportistas[nombres],MATCH(A496,TablaDeportistas[ID_Deportista],0)),"")</f>
        <v/>
      </c>
      <c r="Z496">
        <f>IF(OR(I496="",J496=""),"",ROUND(I496/((J496/100)^2),2))</f>
        <v/>
      </c>
      <c r="AA496">
        <f>IF(I496="","",ROUND(IF(K496="",0,K496)+IF(L496="",0,L496)+IF(O496="",0,O496)+IF(P496="",0,P496)+IF(Q496="",0,Q496)+IF(R496="",0,R496),1))</f>
        <v/>
      </c>
      <c r="AB496">
        <f>IF(I496="","",ROUND(IF(K496="",0,K496)+IF(L496="",0,L496)+IF(M496="",0,M496)+IF(N496="",0,N496)+IF(O496="",0,O496)+IF(P496="",0,P496)+IF(Q496="",0,Q496)+IF(R496="",0,R496),1))</f>
        <v/>
      </c>
      <c r="AD496">
        <f>IF(A496="","",A496&amp;"-"&amp;TEXT(C496,"yyyymmdd"))</f>
        <v/>
      </c>
    </row>
    <row r="497">
      <c r="B497">
        <f>IFERROR(INDEX(TablaDeportistas[primerApellido],MATCH(A497,TablaDeportistas[ID_Deportista],0))&amp;" "&amp;INDEX(TablaDeportistas[nombres],MATCH(A497,TablaDeportistas[ID_Deportista],0)),"")</f>
        <v/>
      </c>
      <c r="Z497">
        <f>IF(OR(I497="",J497=""),"",ROUND(I497/((J497/100)^2),2))</f>
        <v/>
      </c>
      <c r="AA497">
        <f>IF(I497="","",ROUND(IF(K497="",0,K497)+IF(L497="",0,L497)+IF(O497="",0,O497)+IF(P497="",0,P497)+IF(Q497="",0,Q497)+IF(R497="",0,R497),1))</f>
        <v/>
      </c>
      <c r="AB497">
        <f>IF(I497="","",ROUND(IF(K497="",0,K497)+IF(L497="",0,L497)+IF(M497="",0,M497)+IF(N497="",0,N497)+IF(O497="",0,O497)+IF(P497="",0,P497)+IF(Q497="",0,Q497)+IF(R497="",0,R497),1))</f>
        <v/>
      </c>
      <c r="AD497">
        <f>IF(A497="","",A497&amp;"-"&amp;TEXT(C497,"yyyymmdd"))</f>
        <v/>
      </c>
    </row>
    <row r="498">
      <c r="B498">
        <f>IFERROR(INDEX(TablaDeportistas[primerApellido],MATCH(A498,TablaDeportistas[ID_Deportista],0))&amp;" "&amp;INDEX(TablaDeportistas[nombres],MATCH(A498,TablaDeportistas[ID_Deportista],0)),"")</f>
        <v/>
      </c>
      <c r="Z498">
        <f>IF(OR(I498="",J498=""),"",ROUND(I498/((J498/100)^2),2))</f>
        <v/>
      </c>
      <c r="AA498">
        <f>IF(I498="","",ROUND(IF(K498="",0,K498)+IF(L498="",0,L498)+IF(O498="",0,O498)+IF(P498="",0,P498)+IF(Q498="",0,Q498)+IF(R498="",0,R498),1))</f>
        <v/>
      </c>
      <c r="AB498">
        <f>IF(I498="","",ROUND(IF(K498="",0,K498)+IF(L498="",0,L498)+IF(M498="",0,M498)+IF(N498="",0,N498)+IF(O498="",0,O498)+IF(P498="",0,P498)+IF(Q498="",0,Q498)+IF(R498="",0,R498),1))</f>
        <v/>
      </c>
      <c r="AD498">
        <f>IF(A498="","",A498&amp;"-"&amp;TEXT(C498,"yyyymmdd"))</f>
        <v/>
      </c>
    </row>
    <row r="499">
      <c r="B499">
        <f>IFERROR(INDEX(TablaDeportistas[primerApellido],MATCH(A499,TablaDeportistas[ID_Deportista],0))&amp;" "&amp;INDEX(TablaDeportistas[nombres],MATCH(A499,TablaDeportistas[ID_Deportista],0)),"")</f>
        <v/>
      </c>
      <c r="Z499">
        <f>IF(OR(I499="",J499=""),"",ROUND(I499/((J499/100)^2),2))</f>
        <v/>
      </c>
      <c r="AA499">
        <f>IF(I499="","",ROUND(IF(K499="",0,K499)+IF(L499="",0,L499)+IF(O499="",0,O499)+IF(P499="",0,P499)+IF(Q499="",0,Q499)+IF(R499="",0,R499),1))</f>
        <v/>
      </c>
      <c r="AB499">
        <f>IF(I499="","",ROUND(IF(K499="",0,K499)+IF(L499="",0,L499)+IF(M499="",0,M499)+IF(N499="",0,N499)+IF(O499="",0,O499)+IF(P499="",0,P499)+IF(Q499="",0,Q499)+IF(R499="",0,R499),1))</f>
        <v/>
      </c>
      <c r="AD499">
        <f>IF(A499="","",A499&amp;"-"&amp;TEXT(C499,"yyyymmdd"))</f>
        <v/>
      </c>
    </row>
    <row r="500">
      <c r="B500">
        <f>IFERROR(INDEX(TablaDeportistas[primerApellido],MATCH(A500,TablaDeportistas[ID_Deportista],0))&amp;" "&amp;INDEX(TablaDeportistas[nombres],MATCH(A500,TablaDeportistas[ID_Deportista],0)),"")</f>
        <v/>
      </c>
      <c r="Z500">
        <f>IF(OR(I500="",J500=""),"",ROUND(I500/((J500/100)^2),2))</f>
        <v/>
      </c>
      <c r="AA500">
        <f>IF(I500="","",ROUND(IF(K500="",0,K500)+IF(L500="",0,L500)+IF(O500="",0,O500)+IF(P500="",0,P500)+IF(Q500="",0,Q500)+IF(R500="",0,R500),1))</f>
        <v/>
      </c>
      <c r="AB500">
        <f>IF(I500="","",ROUND(IF(K500="",0,K500)+IF(L500="",0,L500)+IF(M500="",0,M500)+IF(N500="",0,N500)+IF(O500="",0,O500)+IF(P500="",0,P500)+IF(Q500="",0,Q500)+IF(R500="",0,R500),1))</f>
        <v/>
      </c>
      <c r="AD500">
        <f>IF(A500="","",A500&amp;"-"&amp;TEXT(C500,"yyyymmdd"))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 fitToPage="1"/>
  </sheetPr>
  <dimension ref="A1:L67"/>
  <sheetViews>
    <sheetView workbookViewId="0">
      <selection activeCell="A1" sqref="A1"/>
    </sheetView>
  </sheetViews>
  <sheetFormatPr baseColWidth="8" defaultRowHeight="15"/>
  <cols>
    <col width="28" customWidth="1" min="1" max="1"/>
    <col width="22" customWidth="1" min="2" max="2"/>
    <col width="10" customWidth="1" min="3" max="3"/>
    <col width="14" customWidth="1" min="4" max="4"/>
    <col width="20" customWidth="1" min="5" max="5"/>
    <col width="12" customWidth="1" min="6" max="6"/>
    <col width="14" customWidth="1" min="7" max="7"/>
    <col width="12" customWidth="1" min="8" max="8"/>
    <col hidden="1" width="13" customWidth="1" min="10" max="10"/>
    <col hidden="1" width="13" customWidth="1" min="11" max="11"/>
    <col hidden="1" width="13" customWidth="1" min="12" max="12"/>
  </cols>
  <sheetData>
    <row r="1">
      <c r="A1" s="14" t="inlineStr">
        <is>
          <t>INFORME DE VALORACIÓN ANTROPOMÉTRICA</t>
        </is>
      </c>
    </row>
    <row r="2">
      <c r="J2">
        <f>LEFT(B3,FIND(" -",B3&amp;" -")-1)</f>
        <v/>
      </c>
      <c r="K2">
        <f>E3</f>
        <v/>
      </c>
      <c r="L2">
        <f>IFERROR(MAXIFS(TablaSeguimiento[Fecha_Evaluacion],TablaSeguimiento[ID_Deportista],J2,TablaSeguimiento[Fecha_Evaluacion],"&lt;="&amp;K2),"")</f>
        <v/>
      </c>
    </row>
    <row r="3">
      <c r="A3" s="15" t="inlineStr">
        <is>
          <t>Deportista:</t>
        </is>
      </c>
      <c r="B3" t="inlineStr">
        <is>
          <t>DEP-001 - García Andrés (1020304050)</t>
        </is>
      </c>
      <c r="D3" s="15" t="inlineStr">
        <is>
          <t>Fecha de corte:</t>
        </is>
      </c>
      <c r="E3" s="16">
        <f>TODAY()</f>
        <v/>
      </c>
      <c r="G3" s="17" t="inlineStr">
        <is>
          <t>[ Actualizar informe ]</t>
        </is>
      </c>
    </row>
    <row r="6">
      <c r="A6" s="18" t="inlineStr">
        <is>
          <t>VALORACIÓN ANTROPOMÉTRICA DEPORTIVA - UCAD</t>
        </is>
      </c>
    </row>
    <row r="7">
      <c r="A7" t="inlineStr">
        <is>
          <t>Nutrición Deportiva | Protocolo ISAK Nivel 1</t>
        </is>
      </c>
    </row>
    <row r="9">
      <c r="A9" s="11" t="inlineStr">
        <is>
          <t>Datos de identificación</t>
        </is>
      </c>
    </row>
    <row r="10">
      <c r="A10" s="15" t="inlineStr">
        <is>
          <t>Nombre:</t>
        </is>
      </c>
      <c r="B10">
        <f>IFERROR(INDEX(TablaDeportistas[primerApellido],MATCH(LEFT(B3,FIND(" -",B3&amp;" -")-1),TablaDeportistas[ID_Deportista],0))&amp;" "&amp;INDEX(TablaDeportistas[segundoApellido],MATCH(LEFT(B3,FIND(" -",B3&amp;" -")-1),TablaDeportistas[ID_Deportista],0))&amp;" "&amp;INDEX(TablaDeportistas[nombres],MATCH(LEFT(B3,FIND(" -",B3&amp;" -")-1),TablaDeportistas[ID_Deportista],0)),"")</f>
        <v/>
      </c>
    </row>
    <row r="11">
      <c r="A11" s="15" t="inlineStr">
        <is>
          <t>Documento:</t>
        </is>
      </c>
      <c r="B11">
        <f>IFERROR(INDEX(TablaDeportistas[tipoDocumentoIdentificacion],MATCH(LEFT(B3,FIND(" -",B3&amp;" -")-1),TablaDeportistas[ID_Deportista],0))&amp;" "&amp;INDEX(TablaDeportistas[numDocumentoIdentificacion],MATCH(LEFT(B3,FIND(" -",B3&amp;" -")-1),TablaDeportistas[ID_Deportista],0)),"")</f>
        <v/>
      </c>
    </row>
    <row r="12">
      <c r="A12" s="15" t="inlineStr">
        <is>
          <t>Sexo:</t>
        </is>
      </c>
      <c r="B12">
        <f>IFERROR(INDEX(TablaDeportistas[codSexo],MATCH(LEFT(B3,FIND(" -",B3&amp;" -")-1),TablaDeportistas[ID_Deportista],0)),"")</f>
        <v/>
      </c>
    </row>
    <row r="13">
      <c r="A13" s="15" t="inlineStr">
        <is>
          <t>Fecha nacimiento:</t>
        </is>
      </c>
      <c r="B13">
        <f>IFERROR(TEXT(INDEX(TablaDeportistas[fechaNacimiento],MATCH(LEFT(B3,FIND(" -",B3&amp;" -")-1),TablaDeportistas[ID_Deportista],0)),"dd/mm/yyyy"),"")</f>
        <v/>
      </c>
    </row>
    <row r="14">
      <c r="A14" s="15" t="inlineStr">
        <is>
          <t>Deporte:</t>
        </is>
      </c>
      <c r="B14">
        <f>IFERROR(INDEX(TablaDeportistas[deporte],MATCH(LEFT(B3,FIND(" -",B3&amp;" -")-1),TablaDeportistas[ID_Deportista],0)),"")</f>
        <v/>
      </c>
    </row>
    <row r="15">
      <c r="A15" s="15" t="inlineStr">
        <is>
          <t>Equipo:</t>
        </is>
      </c>
      <c r="B15">
        <f>IFERROR(INDEX(TablaDeportistas[equipo],MATCH(LEFT(B3,FIND(" -",B3&amp;" -")-1),TablaDeportistas[ID_Deportista],0)),"")</f>
        <v/>
      </c>
    </row>
    <row r="16">
      <c r="A16" s="15" t="inlineStr">
        <is>
          <t>EPS:</t>
        </is>
      </c>
      <c r="B16">
        <f>IFERROR(INDEX(TablaDeportistas[eps],MATCH(LEFT(B3,FIND(" -",B3&amp;" -")-1),TablaDeportistas[ID_Deportista],0)),"")</f>
        <v/>
      </c>
    </row>
    <row r="17">
      <c r="A17" s="15" t="inlineStr">
        <is>
          <t>Informe al:</t>
        </is>
      </c>
      <c r="B17">
        <f>TEXT(E3,"dd/mm/yyyy")</f>
        <v/>
      </c>
    </row>
    <row r="19">
      <c r="A19" s="11" t="inlineStr">
        <is>
          <t>Valoración actual (última evaluación ≤ fecha de corte)</t>
        </is>
      </c>
    </row>
    <row r="20">
      <c r="A20" s="2" t="inlineStr">
        <is>
          <t>Variable</t>
        </is>
      </c>
      <c r="B20" s="2" t="inlineStr">
        <is>
          <t>Valor</t>
        </is>
      </c>
      <c r="C20" s="2" t="inlineStr">
        <is>
          <t>Unidad</t>
        </is>
      </c>
      <c r="D20" s="2" t="inlineStr">
        <is>
          <t>Fecha eval.</t>
        </is>
      </c>
      <c r="E20" s="2" t="inlineStr">
        <is>
          <t>Antropometrista</t>
        </is>
      </c>
    </row>
    <row r="21">
      <c r="A21" s="5" t="inlineStr">
        <is>
          <t>Masa corporal</t>
        </is>
      </c>
      <c r="B21" s="5">
        <f>IFERROR(INDEX(TablaSeguimiento[MASA],MATCH(1,INDEX((TablaSeguimiento[ID_Deportista]=J2)*(TablaSeguimiento[Fecha_Evaluacion]=L2),0),0)),"")</f>
        <v/>
      </c>
      <c r="C21" s="5" t="inlineStr">
        <is>
          <t>kg</t>
        </is>
      </c>
      <c r="D21" s="5">
        <f>IF(L2="","",TEXT(L2,"dd/mm/yyyy"))</f>
        <v/>
      </c>
      <c r="E21" s="5">
        <f>IFERROR(INDEX(TablaSeguimiento[Antropometrista],MATCH(1,INDEX((TablaSeguimiento[ID_Deportista]=J2)*(TablaSeguimiento[Fecha_Evaluacion]=L2),0),0)),"")</f>
        <v/>
      </c>
    </row>
    <row r="22">
      <c r="A22" s="5" t="inlineStr">
        <is>
          <t>Talla</t>
        </is>
      </c>
      <c r="B22" s="5">
        <f>IFERROR(INDEX(TablaSeguimiento[TALLA],MATCH(1,INDEX((TablaSeguimiento[ID_Deportista]=J2)*(TablaSeguimiento[Fecha_Evaluacion]=L2),0),0)),"")</f>
        <v/>
      </c>
      <c r="C22" s="5" t="inlineStr">
        <is>
          <t>cm</t>
        </is>
      </c>
      <c r="D22" s="5">
        <f>IF(L2="","",TEXT(L2,"dd/mm/yyyy"))</f>
        <v/>
      </c>
      <c r="E22" s="5">
        <f>IFERROR(INDEX(TablaSeguimiento[Antropometrista],MATCH(1,INDEX((TablaSeguimiento[ID_Deportista]=J2)*(TablaSeguimiento[Fecha_Evaluacion]=L2),0),0)),"")</f>
        <v/>
      </c>
    </row>
    <row r="23">
      <c r="A23" s="5" t="inlineStr">
        <is>
          <t>IMC</t>
        </is>
      </c>
      <c r="B23" s="5">
        <f>IFERROR(INDEX(TablaSeguimiento[IMC],MATCH(1,INDEX((TablaSeguimiento[ID_Deportista]=J2)*(TablaSeguimiento[Fecha_Evaluacion]=L2),0),0)),"")</f>
        <v/>
      </c>
      <c r="C23" s="5" t="inlineStr">
        <is>
          <t>kg/m²</t>
        </is>
      </c>
      <c r="D23" s="5">
        <f>IF(L2="","",TEXT(L2,"dd/mm/yyyy"))</f>
        <v/>
      </c>
      <c r="E23" s="5">
        <f>IFERROR(INDEX(TablaSeguimiento[Antropometrista],MATCH(1,INDEX((TablaSeguimiento[ID_Deportista]=J2)*(TablaSeguimiento[Fecha_Evaluacion]=L2),0),0)),"")</f>
        <v/>
      </c>
    </row>
    <row r="24">
      <c r="A24" s="5" t="inlineStr">
        <is>
          <t>Suma 6 pliegues</t>
        </is>
      </c>
      <c r="B24" s="5">
        <f>IFERROR(INDEX(TablaSeguimiento[Suma_6_Pliegues],MATCH(1,INDEX((TablaSeguimiento[ID_Deportista]=J2)*(TablaSeguimiento[Fecha_Evaluacion]=L2),0),0)),"")</f>
        <v/>
      </c>
      <c r="C24" s="5" t="inlineStr">
        <is>
          <t>mm</t>
        </is>
      </c>
      <c r="D24" s="5">
        <f>IF(L2="","",TEXT(L2,"dd/mm/yyyy"))</f>
        <v/>
      </c>
      <c r="E24" s="5">
        <f>IFERROR(INDEX(TablaSeguimiento[Antropometrista],MATCH(1,INDEX((TablaSeguimiento[ID_Deportista]=J2)*(TablaSeguimiento[Fecha_Evaluacion]=L2),0),0)),"")</f>
        <v/>
      </c>
    </row>
    <row r="25">
      <c r="A25" s="5" t="inlineStr">
        <is>
          <t>Suma 8 pliegues</t>
        </is>
      </c>
      <c r="B25" s="5">
        <f>IFERROR(INDEX(TablaSeguimiento[Suma_8_Pliegues],MATCH(1,INDEX((TablaSeguimiento[ID_Deportista]=J2)*(TablaSeguimiento[Fecha_Evaluacion]=L2),0),0)),"")</f>
        <v/>
      </c>
      <c r="C25" s="5" t="inlineStr">
        <is>
          <t>mm</t>
        </is>
      </c>
      <c r="D25" s="5">
        <f>IF(L2="","",TEXT(L2,"dd/mm/yyyy"))</f>
        <v/>
      </c>
      <c r="E25" s="5">
        <f>IFERROR(INDEX(TablaSeguimiento[Antropometrista],MATCH(1,INDEX((TablaSeguimiento[ID_Deportista]=J2)*(TablaSeguimiento[Fecha_Evaluacion]=L2),0),0)),"")</f>
        <v/>
      </c>
    </row>
    <row r="26">
      <c r="A26" s="5" t="inlineStr">
        <is>
          <t>Cintura</t>
        </is>
      </c>
      <c r="B26" s="5">
        <f>IFERROR(INDEX(TablaSeguimiento[PR_CINTURA],MATCH(1,INDEX((TablaSeguimiento[ID_Deportista]=J2)*(TablaSeguimiento[Fecha_Evaluacion]=L2),0),0)),"")</f>
        <v/>
      </c>
      <c r="C26" s="5" t="inlineStr">
        <is>
          <t>cm</t>
        </is>
      </c>
      <c r="D26" s="5">
        <f>IF(L2="","",TEXT(L2,"dd/mm/yyyy"))</f>
        <v/>
      </c>
      <c r="E26" s="5">
        <f>IFERROR(INDEX(TablaSeguimiento[Antropometrista],MATCH(1,INDEX((TablaSeguimiento[ID_Deportista]=J2)*(TablaSeguimiento[Fecha_Evaluacion]=L2),0),0)),"")</f>
        <v/>
      </c>
    </row>
    <row r="27">
      <c r="A27" s="5" t="inlineStr">
        <is>
          <t>Cadera</t>
        </is>
      </c>
      <c r="B27" s="5">
        <f>IFERROR(INDEX(TablaSeguimiento[PR_CADERA],MATCH(1,INDEX((TablaSeguimiento[ID_Deportista]=J2)*(TablaSeguimiento[Fecha_Evaluacion]=L2),0),0)),"")</f>
        <v/>
      </c>
      <c r="C27" s="5" t="inlineStr">
        <is>
          <t>cm</t>
        </is>
      </c>
      <c r="D27" s="5">
        <f>IF(L2="","",TEXT(L2,"dd/mm/yyyy"))</f>
        <v/>
      </c>
      <c r="E27" s="5">
        <f>IFERROR(INDEX(TablaSeguimiento[Antropometrista],MATCH(1,INDEX((TablaSeguimiento[ID_Deportista]=J2)*(TablaSeguimiento[Fecha_Evaluacion]=L2),0),0)),"")</f>
        <v/>
      </c>
    </row>
    <row r="28">
      <c r="A28" s="5" t="inlineStr">
        <is>
          <t>% grasa estimada*</t>
        </is>
      </c>
      <c r="B28" s="5">
        <f>IFERROR(ROUND(0.8*INDEX(TablaSeguimiento[Suma_6_Pliegues],MATCH(1,INDEX((TablaSeguimiento[ID_Deportista]=J2)*(TablaSeguimiento[Fecha_Evaluacion]=L2),0),0)),1)&amp;" % (estimado)","")</f>
        <v/>
      </c>
      <c r="C28" s="5" t="inlineStr">
        <is>
          <t>—</t>
        </is>
      </c>
      <c r="D28" s="5">
        <f>IF(L2="","",TEXT(L2,"dd/mm/yyyy"))</f>
        <v/>
      </c>
      <c r="E28" s="5">
        <f>IFERROR(INDEX(TablaSeguimiento[Antropometrista],MATCH(1,INDEX((TablaSeguimiento[ID_Deportista]=J2)*(TablaSeguimiento[Fecha_Evaluacion]=L2),0),0)),"")</f>
        <v/>
      </c>
    </row>
    <row r="30">
      <c r="A30" s="19" t="inlineStr">
        <is>
          <t>* % grasa estimado con ecuación simplificada; ajustar según protocolo clínico.</t>
        </is>
      </c>
    </row>
    <row r="32">
      <c r="A32" s="11" t="inlineStr">
        <is>
          <t>Historial para curvas de progreso</t>
        </is>
      </c>
    </row>
    <row r="33">
      <c r="A33" s="20" t="inlineStr">
        <is>
          <t>Fecha</t>
        </is>
      </c>
      <c r="B33" s="20" t="inlineStr">
        <is>
          <t>Masa</t>
        </is>
      </c>
      <c r="C33" s="20" t="inlineStr">
        <is>
          <t>Talla</t>
        </is>
      </c>
      <c r="D33" s="20" t="inlineStr">
        <is>
          <t>IMC</t>
        </is>
      </c>
      <c r="E33" s="20" t="inlineStr">
        <is>
          <t>Suma6P</t>
        </is>
      </c>
      <c r="F33" s="20" t="inlineStr">
        <is>
          <t>Cintura</t>
        </is>
      </c>
    </row>
    <row r="34">
      <c r="A34" s="16">
        <f>IFERROR(INDEX(SORT(FILTER(TablaSeguimiento[Fecha_Evaluacion],(TablaSeguimiento[ID_Deportista]=J2)*(TablaSeguimiento[Fecha_Evaluacion]&lt;=K2))),1),"")</f>
        <v/>
      </c>
      <c r="B34">
        <f>IF($A34="","",IFERROR(INDEX(TablaSeguimiento[MASA],MATCH(1,INDEX((TablaSeguimiento[ID_Deportista]=$J$2)*(TablaSeguimiento[Fecha_Evaluacion]=$A34),0),0)),""))</f>
        <v/>
      </c>
      <c r="C34">
        <f>IF($A34="","",IFERROR(INDEX(TablaSeguimiento[TALLA],MATCH(1,INDEX((TablaSeguimiento[ID_Deportista]=$J$2)*(TablaSeguimiento[Fecha_Evaluacion]=$A34),0),0)),""))</f>
        <v/>
      </c>
      <c r="D34">
        <f>IF($A34="","",IFERROR(INDEX(TablaSeguimiento[IMC],MATCH(1,INDEX((TablaSeguimiento[ID_Deportista]=$J$2)*(TablaSeguimiento[Fecha_Evaluacion]=$A34),0),0)),""))</f>
        <v/>
      </c>
      <c r="E34">
        <f>IF($A34="","",IFERROR(INDEX(TablaSeguimiento[Suma_6_Pliegues],MATCH(1,INDEX((TablaSeguimiento[ID_Deportista]=$J$2)*(TablaSeguimiento[Fecha_Evaluacion]=$A34),0),0)),""))</f>
        <v/>
      </c>
      <c r="F34">
        <f>IF($A34="","",IFERROR(INDEX(TablaSeguimiento[PR_CINTURA],MATCH(1,INDEX((TablaSeguimiento[ID_Deportista]=$J$2)*(TablaSeguimiento[Fecha_Evaluacion]=$A34),0),0)),""))</f>
        <v/>
      </c>
    </row>
    <row r="35">
      <c r="A35" s="16">
        <f>IFERROR(INDEX(SORT(FILTER(TablaSeguimiento[Fecha_Evaluacion],(TablaSeguimiento[ID_Deportista]=J2)*(TablaSeguimiento[Fecha_Evaluacion]&lt;=K2))),2),"")</f>
        <v/>
      </c>
      <c r="B35">
        <f>IF($A35="","",IFERROR(INDEX(TablaSeguimiento[MASA],MATCH(1,INDEX((TablaSeguimiento[ID_Deportista]=$J$2)*(TablaSeguimiento[Fecha_Evaluacion]=$A35),0),0)),""))</f>
        <v/>
      </c>
      <c r="C35">
        <f>IF($A35="","",IFERROR(INDEX(TablaSeguimiento[TALLA],MATCH(1,INDEX((TablaSeguimiento[ID_Deportista]=$J$2)*(TablaSeguimiento[Fecha_Evaluacion]=$A35),0),0)),""))</f>
        <v/>
      </c>
      <c r="D35">
        <f>IF($A35="","",IFERROR(INDEX(TablaSeguimiento[IMC],MATCH(1,INDEX((TablaSeguimiento[ID_Deportista]=$J$2)*(TablaSeguimiento[Fecha_Evaluacion]=$A35),0),0)),""))</f>
        <v/>
      </c>
      <c r="E35">
        <f>IF($A35="","",IFERROR(INDEX(TablaSeguimiento[Suma_6_Pliegues],MATCH(1,INDEX((TablaSeguimiento[ID_Deportista]=$J$2)*(TablaSeguimiento[Fecha_Evaluacion]=$A35),0),0)),""))</f>
        <v/>
      </c>
      <c r="F35">
        <f>IF($A35="","",IFERROR(INDEX(TablaSeguimiento[PR_CINTURA],MATCH(1,INDEX((TablaSeguimiento[ID_Deportista]=$J$2)*(TablaSeguimiento[Fecha_Evaluacion]=$A35),0),0)),""))</f>
        <v/>
      </c>
    </row>
    <row r="36">
      <c r="A36" s="16">
        <f>IFERROR(INDEX(SORT(FILTER(TablaSeguimiento[Fecha_Evaluacion],(TablaSeguimiento[ID_Deportista]=J2)*(TablaSeguimiento[Fecha_Evaluacion]&lt;=K2))),3),"")</f>
        <v/>
      </c>
      <c r="B36">
        <f>IF($A36="","",IFERROR(INDEX(TablaSeguimiento[MASA],MATCH(1,INDEX((TablaSeguimiento[ID_Deportista]=$J$2)*(TablaSeguimiento[Fecha_Evaluacion]=$A36),0),0)),""))</f>
        <v/>
      </c>
      <c r="C36">
        <f>IF($A36="","",IFERROR(INDEX(TablaSeguimiento[TALLA],MATCH(1,INDEX((TablaSeguimiento[ID_Deportista]=$J$2)*(TablaSeguimiento[Fecha_Evaluacion]=$A36),0),0)),""))</f>
        <v/>
      </c>
      <c r="D36">
        <f>IF($A36="","",IFERROR(INDEX(TablaSeguimiento[IMC],MATCH(1,INDEX((TablaSeguimiento[ID_Deportista]=$J$2)*(TablaSeguimiento[Fecha_Evaluacion]=$A36),0),0)),""))</f>
        <v/>
      </c>
      <c r="E36">
        <f>IF($A36="","",IFERROR(INDEX(TablaSeguimiento[Suma_6_Pliegues],MATCH(1,INDEX((TablaSeguimiento[ID_Deportista]=$J$2)*(TablaSeguimiento[Fecha_Evaluacion]=$A36),0),0)),""))</f>
        <v/>
      </c>
      <c r="F36">
        <f>IF($A36="","",IFERROR(INDEX(TablaSeguimiento[PR_CINTURA],MATCH(1,INDEX((TablaSeguimiento[ID_Deportista]=$J$2)*(TablaSeguimiento[Fecha_Evaluacion]=$A36),0),0)),""))</f>
        <v/>
      </c>
    </row>
    <row r="37">
      <c r="A37" s="16">
        <f>IFERROR(INDEX(SORT(FILTER(TablaSeguimiento[Fecha_Evaluacion],(TablaSeguimiento[ID_Deportista]=J2)*(TablaSeguimiento[Fecha_Evaluacion]&lt;=K2))),4),"")</f>
        <v/>
      </c>
      <c r="B37">
        <f>IF($A37="","",IFERROR(INDEX(TablaSeguimiento[MASA],MATCH(1,INDEX((TablaSeguimiento[ID_Deportista]=$J$2)*(TablaSeguimiento[Fecha_Evaluacion]=$A37),0),0)),""))</f>
        <v/>
      </c>
      <c r="C37">
        <f>IF($A37="","",IFERROR(INDEX(TablaSeguimiento[TALLA],MATCH(1,INDEX((TablaSeguimiento[ID_Deportista]=$J$2)*(TablaSeguimiento[Fecha_Evaluacion]=$A37),0),0)),""))</f>
        <v/>
      </c>
      <c r="D37">
        <f>IF($A37="","",IFERROR(INDEX(TablaSeguimiento[IMC],MATCH(1,INDEX((TablaSeguimiento[ID_Deportista]=$J$2)*(TablaSeguimiento[Fecha_Evaluacion]=$A37),0),0)),""))</f>
        <v/>
      </c>
      <c r="E37">
        <f>IF($A37="","",IFERROR(INDEX(TablaSeguimiento[Suma_6_Pliegues],MATCH(1,INDEX((TablaSeguimiento[ID_Deportista]=$J$2)*(TablaSeguimiento[Fecha_Evaluacion]=$A37),0),0)),""))</f>
        <v/>
      </c>
      <c r="F37">
        <f>IF($A37="","",IFERROR(INDEX(TablaSeguimiento[PR_CINTURA],MATCH(1,INDEX((TablaSeguimiento[ID_Deportista]=$J$2)*(TablaSeguimiento[Fecha_Evaluacion]=$A37),0),0)),""))</f>
        <v/>
      </c>
    </row>
    <row r="38">
      <c r="A38" s="16">
        <f>IFERROR(INDEX(SORT(FILTER(TablaSeguimiento[Fecha_Evaluacion],(TablaSeguimiento[ID_Deportista]=J2)*(TablaSeguimiento[Fecha_Evaluacion]&lt;=K2))),5),"")</f>
        <v/>
      </c>
      <c r="B38">
        <f>IF($A38="","",IFERROR(INDEX(TablaSeguimiento[MASA],MATCH(1,INDEX((TablaSeguimiento[ID_Deportista]=$J$2)*(TablaSeguimiento[Fecha_Evaluacion]=$A38),0),0)),""))</f>
        <v/>
      </c>
      <c r="C38">
        <f>IF($A38="","",IFERROR(INDEX(TablaSeguimiento[TALLA],MATCH(1,INDEX((TablaSeguimiento[ID_Deportista]=$J$2)*(TablaSeguimiento[Fecha_Evaluacion]=$A38),0),0)),""))</f>
        <v/>
      </c>
      <c r="D38">
        <f>IF($A38="","",IFERROR(INDEX(TablaSeguimiento[IMC],MATCH(1,INDEX((TablaSeguimiento[ID_Deportista]=$J$2)*(TablaSeguimiento[Fecha_Evaluacion]=$A38),0),0)),""))</f>
        <v/>
      </c>
      <c r="E38">
        <f>IF($A38="","",IFERROR(INDEX(TablaSeguimiento[Suma_6_Pliegues],MATCH(1,INDEX((TablaSeguimiento[ID_Deportista]=$J$2)*(TablaSeguimiento[Fecha_Evaluacion]=$A38),0),0)),""))</f>
        <v/>
      </c>
      <c r="F38">
        <f>IF($A38="","",IFERROR(INDEX(TablaSeguimiento[PR_CINTURA],MATCH(1,INDEX((TablaSeguimiento[ID_Deportista]=$J$2)*(TablaSeguimiento[Fecha_Evaluacion]=$A38),0),0)),""))</f>
        <v/>
      </c>
    </row>
    <row r="39">
      <c r="A39" s="16">
        <f>IFERROR(INDEX(SORT(FILTER(TablaSeguimiento[Fecha_Evaluacion],(TablaSeguimiento[ID_Deportista]=J2)*(TablaSeguimiento[Fecha_Evaluacion]&lt;=K2))),6),"")</f>
        <v/>
      </c>
      <c r="B39">
        <f>IF($A39="","",IFERROR(INDEX(TablaSeguimiento[MASA],MATCH(1,INDEX((TablaSeguimiento[ID_Deportista]=$J$2)*(TablaSeguimiento[Fecha_Evaluacion]=$A39),0),0)),""))</f>
        <v/>
      </c>
      <c r="C39">
        <f>IF($A39="","",IFERROR(INDEX(TablaSeguimiento[TALLA],MATCH(1,INDEX((TablaSeguimiento[ID_Deportista]=$J$2)*(TablaSeguimiento[Fecha_Evaluacion]=$A39),0),0)),""))</f>
        <v/>
      </c>
      <c r="D39">
        <f>IF($A39="","",IFERROR(INDEX(TablaSeguimiento[IMC],MATCH(1,INDEX((TablaSeguimiento[ID_Deportista]=$J$2)*(TablaSeguimiento[Fecha_Evaluacion]=$A39),0),0)),""))</f>
        <v/>
      </c>
      <c r="E39">
        <f>IF($A39="","",IFERROR(INDEX(TablaSeguimiento[Suma_6_Pliegues],MATCH(1,INDEX((TablaSeguimiento[ID_Deportista]=$J$2)*(TablaSeguimiento[Fecha_Evaluacion]=$A39),0),0)),""))</f>
        <v/>
      </c>
      <c r="F39">
        <f>IF($A39="","",IFERROR(INDEX(TablaSeguimiento[PR_CINTURA],MATCH(1,INDEX((TablaSeguimiento[ID_Deportista]=$J$2)*(TablaSeguimiento[Fecha_Evaluacion]=$A39),0),0)),""))</f>
        <v/>
      </c>
    </row>
    <row r="40">
      <c r="A40" s="16">
        <f>IFERROR(INDEX(SORT(FILTER(TablaSeguimiento[Fecha_Evaluacion],(TablaSeguimiento[ID_Deportista]=J2)*(TablaSeguimiento[Fecha_Evaluacion]&lt;=K2))),7),"")</f>
        <v/>
      </c>
      <c r="B40">
        <f>IF($A40="","",IFERROR(INDEX(TablaSeguimiento[MASA],MATCH(1,INDEX((TablaSeguimiento[ID_Deportista]=$J$2)*(TablaSeguimiento[Fecha_Evaluacion]=$A40),0),0)),""))</f>
        <v/>
      </c>
      <c r="C40">
        <f>IF($A40="","",IFERROR(INDEX(TablaSeguimiento[TALLA],MATCH(1,INDEX((TablaSeguimiento[ID_Deportista]=$J$2)*(TablaSeguimiento[Fecha_Evaluacion]=$A40),0),0)),""))</f>
        <v/>
      </c>
      <c r="D40">
        <f>IF($A40="","",IFERROR(INDEX(TablaSeguimiento[IMC],MATCH(1,INDEX((TablaSeguimiento[ID_Deportista]=$J$2)*(TablaSeguimiento[Fecha_Evaluacion]=$A40),0),0)),""))</f>
        <v/>
      </c>
      <c r="E40">
        <f>IF($A40="","",IFERROR(INDEX(TablaSeguimiento[Suma_6_Pliegues],MATCH(1,INDEX((TablaSeguimiento[ID_Deportista]=$J$2)*(TablaSeguimiento[Fecha_Evaluacion]=$A40),0),0)),""))</f>
        <v/>
      </c>
      <c r="F40">
        <f>IF($A40="","",IFERROR(INDEX(TablaSeguimiento[PR_CINTURA],MATCH(1,INDEX((TablaSeguimiento[ID_Deportista]=$J$2)*(TablaSeguimiento[Fecha_Evaluacion]=$A40),0),0)),""))</f>
        <v/>
      </c>
    </row>
    <row r="41">
      <c r="A41" s="16">
        <f>IFERROR(INDEX(SORT(FILTER(TablaSeguimiento[Fecha_Evaluacion],(TablaSeguimiento[ID_Deportista]=J2)*(TablaSeguimiento[Fecha_Evaluacion]&lt;=K2))),8),"")</f>
        <v/>
      </c>
      <c r="B41">
        <f>IF($A41="","",IFERROR(INDEX(TablaSeguimiento[MASA],MATCH(1,INDEX((TablaSeguimiento[ID_Deportista]=$J$2)*(TablaSeguimiento[Fecha_Evaluacion]=$A41),0),0)),""))</f>
        <v/>
      </c>
      <c r="C41">
        <f>IF($A41="","",IFERROR(INDEX(TablaSeguimiento[TALLA],MATCH(1,INDEX((TablaSeguimiento[ID_Deportista]=$J$2)*(TablaSeguimiento[Fecha_Evaluacion]=$A41),0),0)),""))</f>
        <v/>
      </c>
      <c r="D41">
        <f>IF($A41="","",IFERROR(INDEX(TablaSeguimiento[IMC],MATCH(1,INDEX((TablaSeguimiento[ID_Deportista]=$J$2)*(TablaSeguimiento[Fecha_Evaluacion]=$A41),0),0)),""))</f>
        <v/>
      </c>
      <c r="E41">
        <f>IF($A41="","",IFERROR(INDEX(TablaSeguimiento[Suma_6_Pliegues],MATCH(1,INDEX((TablaSeguimiento[ID_Deportista]=$J$2)*(TablaSeguimiento[Fecha_Evaluacion]=$A41),0),0)),""))</f>
        <v/>
      </c>
      <c r="F41">
        <f>IF($A41="","",IFERROR(INDEX(TablaSeguimiento[PR_CINTURA],MATCH(1,INDEX((TablaSeguimiento[ID_Deportista]=$J$2)*(TablaSeguimiento[Fecha_Evaluacion]=$A41),0),0)),""))</f>
        <v/>
      </c>
    </row>
    <row r="42">
      <c r="A42" s="16">
        <f>IFERROR(INDEX(SORT(FILTER(TablaSeguimiento[Fecha_Evaluacion],(TablaSeguimiento[ID_Deportista]=J2)*(TablaSeguimiento[Fecha_Evaluacion]&lt;=K2))),9),"")</f>
        <v/>
      </c>
      <c r="B42">
        <f>IF($A42="","",IFERROR(INDEX(TablaSeguimiento[MASA],MATCH(1,INDEX((TablaSeguimiento[ID_Deportista]=$J$2)*(TablaSeguimiento[Fecha_Evaluacion]=$A42),0),0)),""))</f>
        <v/>
      </c>
      <c r="C42">
        <f>IF($A42="","",IFERROR(INDEX(TablaSeguimiento[TALLA],MATCH(1,INDEX((TablaSeguimiento[ID_Deportista]=$J$2)*(TablaSeguimiento[Fecha_Evaluacion]=$A42),0),0)),""))</f>
        <v/>
      </c>
      <c r="D42">
        <f>IF($A42="","",IFERROR(INDEX(TablaSeguimiento[IMC],MATCH(1,INDEX((TablaSeguimiento[ID_Deportista]=$J$2)*(TablaSeguimiento[Fecha_Evaluacion]=$A42),0),0)),""))</f>
        <v/>
      </c>
      <c r="E42">
        <f>IF($A42="","",IFERROR(INDEX(TablaSeguimiento[Suma_6_Pliegues],MATCH(1,INDEX((TablaSeguimiento[ID_Deportista]=$J$2)*(TablaSeguimiento[Fecha_Evaluacion]=$A42),0),0)),""))</f>
        <v/>
      </c>
      <c r="F42">
        <f>IF($A42="","",IFERROR(INDEX(TablaSeguimiento[PR_CINTURA],MATCH(1,INDEX((TablaSeguimiento[ID_Deportista]=$J$2)*(TablaSeguimiento[Fecha_Evaluacion]=$A42),0),0)),""))</f>
        <v/>
      </c>
    </row>
    <row r="43">
      <c r="A43" s="16">
        <f>IFERROR(INDEX(SORT(FILTER(TablaSeguimiento[Fecha_Evaluacion],(TablaSeguimiento[ID_Deportista]=J2)*(TablaSeguimiento[Fecha_Evaluacion]&lt;=K2))),10),"")</f>
        <v/>
      </c>
      <c r="B43">
        <f>IF($A43="","",IFERROR(INDEX(TablaSeguimiento[MASA],MATCH(1,INDEX((TablaSeguimiento[ID_Deportista]=$J$2)*(TablaSeguimiento[Fecha_Evaluacion]=$A43),0),0)),""))</f>
        <v/>
      </c>
      <c r="C43">
        <f>IF($A43="","",IFERROR(INDEX(TablaSeguimiento[TALLA],MATCH(1,INDEX((TablaSeguimiento[ID_Deportista]=$J$2)*(TablaSeguimiento[Fecha_Evaluacion]=$A43),0),0)),""))</f>
        <v/>
      </c>
      <c r="D43">
        <f>IF($A43="","",IFERROR(INDEX(TablaSeguimiento[IMC],MATCH(1,INDEX((TablaSeguimiento[ID_Deportista]=$J$2)*(TablaSeguimiento[Fecha_Evaluacion]=$A43),0),0)),""))</f>
        <v/>
      </c>
      <c r="E43">
        <f>IF($A43="","",IFERROR(INDEX(TablaSeguimiento[Suma_6_Pliegues],MATCH(1,INDEX((TablaSeguimiento[ID_Deportista]=$J$2)*(TablaSeguimiento[Fecha_Evaluacion]=$A43),0),0)),""))</f>
        <v/>
      </c>
      <c r="F43">
        <f>IF($A43="","",IFERROR(INDEX(TablaSeguimiento[PR_CINTURA],MATCH(1,INDEX((TablaSeguimiento[ID_Deportista]=$J$2)*(TablaSeguimiento[Fecha_Evaluacion]=$A43),0),0)),""))</f>
        <v/>
      </c>
    </row>
    <row r="44">
      <c r="A44" s="16">
        <f>IFERROR(INDEX(SORT(FILTER(TablaSeguimiento[Fecha_Evaluacion],(TablaSeguimiento[ID_Deportista]=J2)*(TablaSeguimiento[Fecha_Evaluacion]&lt;=K2))),11),"")</f>
        <v/>
      </c>
      <c r="B44">
        <f>IF($A44="","",IFERROR(INDEX(TablaSeguimiento[MASA],MATCH(1,INDEX((TablaSeguimiento[ID_Deportista]=$J$2)*(TablaSeguimiento[Fecha_Evaluacion]=$A44),0),0)),""))</f>
        <v/>
      </c>
      <c r="C44">
        <f>IF($A44="","",IFERROR(INDEX(TablaSeguimiento[TALLA],MATCH(1,INDEX((TablaSeguimiento[ID_Deportista]=$J$2)*(TablaSeguimiento[Fecha_Evaluacion]=$A44),0),0)),""))</f>
        <v/>
      </c>
      <c r="D44">
        <f>IF($A44="","",IFERROR(INDEX(TablaSeguimiento[IMC],MATCH(1,INDEX((TablaSeguimiento[ID_Deportista]=$J$2)*(TablaSeguimiento[Fecha_Evaluacion]=$A44),0),0)),""))</f>
        <v/>
      </c>
      <c r="E44">
        <f>IF($A44="","",IFERROR(INDEX(TablaSeguimiento[Suma_6_Pliegues],MATCH(1,INDEX((TablaSeguimiento[ID_Deportista]=$J$2)*(TablaSeguimiento[Fecha_Evaluacion]=$A44),0),0)),""))</f>
        <v/>
      </c>
      <c r="F44">
        <f>IF($A44="","",IFERROR(INDEX(TablaSeguimiento[PR_CINTURA],MATCH(1,INDEX((TablaSeguimiento[ID_Deportista]=$J$2)*(TablaSeguimiento[Fecha_Evaluacion]=$A44),0),0)),""))</f>
        <v/>
      </c>
    </row>
    <row r="45">
      <c r="A45" s="16">
        <f>IFERROR(INDEX(SORT(FILTER(TablaSeguimiento[Fecha_Evaluacion],(TablaSeguimiento[ID_Deportista]=J2)*(TablaSeguimiento[Fecha_Evaluacion]&lt;=K2))),12),"")</f>
        <v/>
      </c>
      <c r="B45">
        <f>IF($A45="","",IFERROR(INDEX(TablaSeguimiento[MASA],MATCH(1,INDEX((TablaSeguimiento[ID_Deportista]=$J$2)*(TablaSeguimiento[Fecha_Evaluacion]=$A45),0),0)),""))</f>
        <v/>
      </c>
      <c r="C45">
        <f>IF($A45="","",IFERROR(INDEX(TablaSeguimiento[TALLA],MATCH(1,INDEX((TablaSeguimiento[ID_Deportista]=$J$2)*(TablaSeguimiento[Fecha_Evaluacion]=$A45),0),0)),""))</f>
        <v/>
      </c>
      <c r="D45">
        <f>IF($A45="","",IFERROR(INDEX(TablaSeguimiento[IMC],MATCH(1,INDEX((TablaSeguimiento[ID_Deportista]=$J$2)*(TablaSeguimiento[Fecha_Evaluacion]=$A45),0),0)),""))</f>
        <v/>
      </c>
      <c r="E45">
        <f>IF($A45="","",IFERROR(INDEX(TablaSeguimiento[Suma_6_Pliegues],MATCH(1,INDEX((TablaSeguimiento[ID_Deportista]=$J$2)*(TablaSeguimiento[Fecha_Evaluacion]=$A45),0),0)),""))</f>
        <v/>
      </c>
      <c r="F45">
        <f>IF($A45="","",IFERROR(INDEX(TablaSeguimiento[PR_CINTURA],MATCH(1,INDEX((TablaSeguimiento[ID_Deportista]=$J$2)*(TablaSeguimiento[Fecha_Evaluacion]=$A45),0),0)),""))</f>
        <v/>
      </c>
    </row>
    <row r="66">
      <c r="A66" t="inlineStr">
        <is>
          <t>Elaborado por: Nutrición Deportiva UCAD | Exportar: Archivo → Guardar como → PDF</t>
        </is>
      </c>
    </row>
    <row r="67">
      <c r="A67" t="inlineStr">
        <is>
          <t>Generado: 16/07/2026 18:23</t>
        </is>
      </c>
    </row>
  </sheetData>
  <mergeCells count="3">
    <mergeCell ref="A7:H7"/>
    <mergeCell ref="A6:H6"/>
    <mergeCell ref="A1:H1"/>
  </mergeCells>
  <dataValidations count="1">
    <dataValidation sqref="B3" showDropDown="0" showInputMessage="0" showErrorMessage="0" allowBlank="0" type="list">
      <formula1>=OFFSET(Listas!$J$1,0,0,COUNTA(Listas!$J:$J),1)</formula1>
    </dataValidation>
  </dataValidations>
  <pageMargins left="0.5" right="0.5" top="0.5" bottom="0.5" header="0.5" footer="0.5"/>
  <pageSetup orientation="portrait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cols>
    <col width="20" customWidth="1" min="1" max="1"/>
    <col width="18" customWidth="1" min="2" max="2"/>
    <col width="22" customWidth="1" min="3" max="3"/>
    <col width="18" customWidth="1" min="4" max="4"/>
    <col width="40" customWidth="1" min="5" max="5"/>
  </cols>
  <sheetData>
    <row r="1">
      <c r="A1" s="2" t="inlineStr">
        <is>
          <t>Fecha_Hora</t>
        </is>
      </c>
      <c r="B1" s="2" t="inlineStr">
        <is>
          <t>Usuario</t>
        </is>
      </c>
      <c r="C1" s="2" t="inlineStr">
        <is>
          <t>Accion</t>
        </is>
      </c>
      <c r="D1" s="2" t="inlineStr">
        <is>
          <t>ID_Evaluacion</t>
        </is>
      </c>
      <c r="E1" s="2" t="inlineStr">
        <is>
          <t>Detalle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J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CC</t>
        </is>
      </c>
      <c r="B1" t="inlineStr">
        <is>
          <t>01</t>
        </is>
      </c>
      <c r="C1" t="inlineStr">
        <is>
          <t>M</t>
        </is>
      </c>
      <c r="D1" t="inlineStr">
        <is>
          <t>01</t>
        </is>
      </c>
      <c r="E1" t="inlineStr">
        <is>
          <t>SI</t>
        </is>
      </c>
      <c r="F1" t="inlineStr">
        <is>
          <t>Sí</t>
        </is>
      </c>
      <c r="G1" t="inlineStr">
        <is>
          <t>D</t>
        </is>
      </c>
      <c r="H1" t="inlineStr">
        <is>
          <t>A</t>
        </is>
      </c>
      <c r="J1" t="inlineStr">
        <is>
          <t>DeportistasActivos</t>
        </is>
      </c>
    </row>
    <row r="2">
      <c r="A2" t="inlineStr">
        <is>
          <t>TI</t>
        </is>
      </c>
      <c r="B2" t="inlineStr">
        <is>
          <t>02</t>
        </is>
      </c>
      <c r="C2" t="inlineStr">
        <is>
          <t>F</t>
        </is>
      </c>
      <c r="D2" t="inlineStr">
        <is>
          <t>02</t>
        </is>
      </c>
      <c r="E2" t="inlineStr">
        <is>
          <t>NO</t>
        </is>
      </c>
      <c r="F2" t="inlineStr">
        <is>
          <t>No</t>
        </is>
      </c>
      <c r="G2" t="inlineStr">
        <is>
          <t>I</t>
        </is>
      </c>
      <c r="H2" t="inlineStr">
        <is>
          <t>B</t>
        </is>
      </c>
      <c r="J2" t="inlineStr">
        <is>
          <t>DEP-001 - García Andrés (1020304050)</t>
        </is>
      </c>
    </row>
    <row r="3">
      <c r="A3" t="inlineStr">
        <is>
          <t>CE</t>
        </is>
      </c>
      <c r="B3" t="inlineStr">
        <is>
          <t>03</t>
        </is>
      </c>
      <c r="E3" t="inlineStr">
        <is>
          <t>Sí</t>
        </is>
      </c>
      <c r="J3" t="inlineStr">
        <is>
          <t>DEP-002 - Martínez María (1030456789)</t>
        </is>
      </c>
    </row>
    <row r="4">
      <c r="A4" t="inlineStr">
        <is>
          <t>RC</t>
        </is>
      </c>
      <c r="B4" t="inlineStr">
        <is>
          <t>04</t>
        </is>
      </c>
      <c r="E4" t="inlineStr">
        <is>
          <t>No</t>
        </is>
      </c>
      <c r="J4" t="inlineStr">
        <is>
          <t>DEP-003 - Rodríguez Carlos (1040567890)</t>
        </is>
      </c>
    </row>
    <row r="5">
      <c r="A5" t="inlineStr">
        <is>
          <t>PA</t>
        </is>
      </c>
      <c r="J5" t="inlineStr">
        <is>
          <t>DEP-004 - Hernández Laura (1050678901)</t>
        </is>
      </c>
    </row>
    <row r="6">
      <c r="A6" t="inlineStr">
        <is>
          <t>MS</t>
        </is>
      </c>
      <c r="J6" t="inlineStr">
        <is>
          <t>DEP-005 - Acosta Diego (1060789012)</t>
        </is>
      </c>
    </row>
    <row r="7">
      <c r="A7" t="inlineStr">
        <is>
          <t>AS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UCAD / Eder Acosta</dc:creator>
  <dc:title>Seguimiento Nutricional Deportivo</dc:title>
  <dc:description>Seguimiento antropométrico ISAK + identificación RIPS</dc:description>
  <dcterms:created xsi:type="dcterms:W3CDTF">2026-07-16T18:23:18Z</dcterms:created>
  <dcterms:modified xsi:type="dcterms:W3CDTF">2026-07-16T18:23:18Z</dcterms:modified>
</cp:coreProperties>
</file>